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.timko\Documents\Visual Studio 2015\Projects\PCB\PCB.Data\XLSx\"/>
    </mc:Choice>
  </mc:AlternateContent>
  <bookViews>
    <workbookView xWindow="0" yWindow="60" windowWidth="20490" windowHeight="8070"/>
  </bookViews>
  <sheets>
    <sheet name="ZÁKLAD" sheetId="3" r:id="rId1"/>
  </sheets>
  <definedNames>
    <definedName name="_xlnm._FilterDatabase" localSheetId="0" hidden="1">ZÁKLAD!$A$1:$Y$154</definedName>
  </definedNames>
  <calcPr calcId="162913" refMode="R1C1"/>
</workbook>
</file>

<file path=xl/calcChain.xml><?xml version="1.0" encoding="utf-8"?>
<calcChain xmlns="http://schemas.openxmlformats.org/spreadsheetml/2006/main">
  <c r="AC3" i="3" l="1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" i="3"/>
  <c r="AB285" i="3" l="1"/>
  <c r="AB284" i="3"/>
  <c r="AB283" i="3" l="1"/>
  <c r="AB282" i="3"/>
  <c r="AB281" i="3"/>
  <c r="AB280" i="3"/>
  <c r="AB279" i="3" l="1"/>
  <c r="AB278" i="3" l="1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 l="1"/>
  <c r="AB261" i="3"/>
  <c r="AB260" i="3"/>
  <c r="AB259" i="3"/>
  <c r="AB258" i="3"/>
  <c r="AB257" i="3"/>
  <c r="AB256" i="3"/>
  <c r="AB255" i="3"/>
  <c r="AB254" i="3" l="1"/>
  <c r="AB253" i="3"/>
  <c r="AB252" i="3"/>
  <c r="AB251" i="3"/>
  <c r="AB107" i="3" l="1"/>
  <c r="AB108" i="3"/>
  <c r="AB109" i="3"/>
  <c r="AB110" i="3"/>
  <c r="AB111" i="3"/>
  <c r="AB112" i="3"/>
  <c r="AB113" i="3"/>
  <c r="AB114" i="3"/>
  <c r="AB115" i="3"/>
  <c r="AB116" i="3"/>
  <c r="AB250" i="3" l="1"/>
  <c r="AB249" i="3"/>
  <c r="AB248" i="3"/>
  <c r="AB247" i="3"/>
  <c r="AB246" i="3"/>
  <c r="AB245" i="3"/>
  <c r="AB244" i="3"/>
  <c r="AB243" i="3"/>
  <c r="AB242" i="3"/>
  <c r="AB241" i="3"/>
  <c r="AB240" i="3" l="1"/>
  <c r="AB239" i="3" l="1"/>
  <c r="AB238" i="3"/>
  <c r="AB237" i="3" l="1"/>
  <c r="AB228" i="3" l="1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9" i="3"/>
  <c r="AB230" i="3"/>
  <c r="AB231" i="3"/>
  <c r="AB232" i="3"/>
  <c r="AB233" i="3"/>
  <c r="AB234" i="3"/>
  <c r="AB235" i="3"/>
  <c r="AB236" i="3"/>
  <c r="AB5" i="3"/>
  <c r="AB4" i="3"/>
  <c r="AB3" i="3"/>
  <c r="AB2" i="3"/>
</calcChain>
</file>

<file path=xl/sharedStrings.xml><?xml version="1.0" encoding="utf-8"?>
<sst xmlns="http://schemas.openxmlformats.org/spreadsheetml/2006/main" count="3066" uniqueCount="370">
  <si>
    <t>Střihání základního materiálu</t>
  </si>
  <si>
    <t>Fazetovat hrany pro zlacení</t>
  </si>
  <si>
    <t>Děrování a paketování</t>
  </si>
  <si>
    <t>Vrtání</t>
  </si>
  <si>
    <t>Kartáčování jednostranné - jen strana Cu</t>
  </si>
  <si>
    <t>Mikrozaleptání (MEB)</t>
  </si>
  <si>
    <t>Vytvoření motivu</t>
  </si>
  <si>
    <t>Kontrola a retuš motivu</t>
  </si>
  <si>
    <t>Frézování reg.značek Inspecta</t>
  </si>
  <si>
    <t>Laminace</t>
  </si>
  <si>
    <t>Ostřih po laminaci</t>
  </si>
  <si>
    <t>Vrtani se slepými otvory - strana A</t>
  </si>
  <si>
    <t>Vrtani se slepými otvory - strana Z</t>
  </si>
  <si>
    <t>Vrtani se slepými otvory oboustranne</t>
  </si>
  <si>
    <t>Profuk otvorů tlakovým vzduchem</t>
  </si>
  <si>
    <t>Ostřih dle vrtaných značek</t>
  </si>
  <si>
    <t>NEOPACT-standardní</t>
  </si>
  <si>
    <t>NEOPACT-2x = prg 1 + 7</t>
  </si>
  <si>
    <t>Navalení fotorezistu</t>
  </si>
  <si>
    <t>Vytvoření motivu na sl.otvorech str. A</t>
  </si>
  <si>
    <t xml:space="preserve">Vytvoření motivu na sl.otvorech str. Z </t>
  </si>
  <si>
    <t>Vytvoření motivu na sl.otv. oboustranně</t>
  </si>
  <si>
    <t xml:space="preserve">Leptání alkalické </t>
  </si>
  <si>
    <t xml:space="preserve">Leptání alkalické za asistence technologa </t>
  </si>
  <si>
    <t>Stripování rezistu slepých otvorů</t>
  </si>
  <si>
    <t>Stripování Sn</t>
  </si>
  <si>
    <t>Kartáčování po stripu Sn</t>
  </si>
  <si>
    <t>Optický test po stripu</t>
  </si>
  <si>
    <t>Kontrola</t>
  </si>
  <si>
    <t>Lepit hrany před zlacením</t>
  </si>
  <si>
    <t>Kontrola před vytvrzením</t>
  </si>
  <si>
    <t>Vytvrzení</t>
  </si>
  <si>
    <t>Vytvoření motivu pro pokovení konektoru</t>
  </si>
  <si>
    <t>Kontrola zlacení konektorů</t>
  </si>
  <si>
    <t>Stripování (striper cínu)</t>
  </si>
  <si>
    <t>Aktivace Cu, HAL</t>
  </si>
  <si>
    <t>Mytí saponátem</t>
  </si>
  <si>
    <t>Expedice</t>
  </si>
  <si>
    <t>MA</t>
  </si>
  <si>
    <t>MB</t>
  </si>
  <si>
    <t>MX</t>
  </si>
  <si>
    <t>L</t>
  </si>
  <si>
    <t>I</t>
  </si>
  <si>
    <t>Q</t>
  </si>
  <si>
    <t>H</t>
  </si>
  <si>
    <t>C</t>
  </si>
  <si>
    <t>Z</t>
  </si>
  <si>
    <t>T</t>
  </si>
  <si>
    <t>G</t>
  </si>
  <si>
    <t>F1</t>
  </si>
  <si>
    <t>D1</t>
  </si>
  <si>
    <t>D2</t>
  </si>
  <si>
    <t>D3</t>
  </si>
  <si>
    <t>F2</t>
  </si>
  <si>
    <t>R</t>
  </si>
  <si>
    <t>J.</t>
  </si>
  <si>
    <t>O.</t>
  </si>
  <si>
    <t>J0</t>
  </si>
  <si>
    <t>S.</t>
  </si>
  <si>
    <t>E1</t>
  </si>
  <si>
    <t>E2</t>
  </si>
  <si>
    <t>J1</t>
  </si>
  <si>
    <t>N.</t>
  </si>
  <si>
    <t>4A</t>
  </si>
  <si>
    <t>6A</t>
  </si>
  <si>
    <t>8A</t>
  </si>
  <si>
    <t>10A</t>
  </si>
  <si>
    <t>12A</t>
  </si>
  <si>
    <t>4B</t>
  </si>
  <si>
    <t>6B</t>
  </si>
  <si>
    <t>8B</t>
  </si>
  <si>
    <t>10B</t>
  </si>
  <si>
    <t>12B</t>
  </si>
  <si>
    <t>SN</t>
  </si>
  <si>
    <t>Kontrola a retuš krycího fotoresistu pro konektory</t>
  </si>
  <si>
    <t>Navalení fotoresistu pro krytí sl.otv. str. A</t>
  </si>
  <si>
    <t>Navalalení fotoresistu pro krytí sl.otv. str. Z</t>
  </si>
  <si>
    <t xml:space="preserve">Navalení fotoresistu pro krytí sl.otv. oboustranné </t>
  </si>
  <si>
    <t>Navalení fotoresistu před pokovením konektoru</t>
  </si>
  <si>
    <t>Stripování fotorezistu</t>
  </si>
  <si>
    <t>Kontrola po HAL</t>
  </si>
  <si>
    <t>podmínka</t>
  </si>
  <si>
    <t>číslo</t>
  </si>
  <si>
    <t>Vrtání drp. - zaplnované otvory</t>
  </si>
  <si>
    <t>Vrtání s parametry Arlon</t>
  </si>
  <si>
    <t>Arlon, Roger, Duroid, Diclad</t>
  </si>
  <si>
    <t>zaplnované otvory</t>
  </si>
  <si>
    <t>slepé otvory ze str. A</t>
  </si>
  <si>
    <t>slepé otvory ze str. Z</t>
  </si>
  <si>
    <t>slepé otvory oboustranně</t>
  </si>
  <si>
    <t xml:space="preserve"> pro otvory ≤ 0,25 mm</t>
  </si>
  <si>
    <t>Čištění v ultrazvukové myčce 10 min</t>
  </si>
  <si>
    <t>Čištění v ultrazvukové myčce 30 min</t>
  </si>
  <si>
    <t xml:space="preserve"> pro otvory ≤ 0,35 mm</t>
  </si>
  <si>
    <t xml:space="preserve"> pro otvory ≥ 0,40 mm</t>
  </si>
  <si>
    <t>NEOPACT-3x = prg 1+7+7</t>
  </si>
  <si>
    <t>NEOPACT-4x = prg 1+1+1+1</t>
  </si>
  <si>
    <t>pro duroid 5880</t>
  </si>
  <si>
    <t>pro Arlony, Diclad</t>
  </si>
  <si>
    <t>pro materiál is620</t>
  </si>
  <si>
    <t>Sušení 90 min při 110 oC</t>
  </si>
  <si>
    <t>Sušení 2h při 150 oC</t>
  </si>
  <si>
    <t>pro materál Diclad</t>
  </si>
  <si>
    <t xml:space="preserve"> pro otvory ≤ 0,30 mm,Roger 4003 C, 3010, 3250B, zaplnované otvory</t>
  </si>
  <si>
    <t>Kontrola pokovení otvorů technologem - nechat v regálu</t>
  </si>
  <si>
    <t>Cu-Sn- CELOPLOŠNÉ galvanické prokovení</t>
  </si>
  <si>
    <t>Arlon, Diclad, Duroid,zaplnované otvory</t>
  </si>
  <si>
    <t>Mikrozaleptání (MEB) 3,0 m/min</t>
  </si>
  <si>
    <t>Duroid, Arlon, Diclad</t>
  </si>
  <si>
    <t>Dps se slepými otvory</t>
  </si>
  <si>
    <t>Navalení fotorezistu typu MM !!! celoplošné galv. zlacení</t>
  </si>
  <si>
    <t>celoplošné galvanické zlacení</t>
  </si>
  <si>
    <t>Mikrozaleptání (MEB)   v.v.</t>
  </si>
  <si>
    <t>Navalení fotorezistu   v.v.</t>
  </si>
  <si>
    <t>Vytvoření motivu   v.v.</t>
  </si>
  <si>
    <t>Kontrola a retuš motivu   v.v.</t>
  </si>
  <si>
    <t>Leptání (kyselé) +stripování rezistu   v.v.</t>
  </si>
  <si>
    <t>Děrování sesazovacích otvorů   v.v.</t>
  </si>
  <si>
    <t>Kontrola (nebo optický test)   v.v.</t>
  </si>
  <si>
    <t>Černění   v.v.</t>
  </si>
  <si>
    <t>Svařování   v.v.</t>
  </si>
  <si>
    <t>první výroba, 6.,7.,8. k.t.</t>
  </si>
  <si>
    <t>imersní zlacení,  ≤ 2,0 mm</t>
  </si>
  <si>
    <t>imersní zlacení, ≤ 2,0 mm</t>
  </si>
  <si>
    <t>Kontrola po celoplošném galvanickém zlacení</t>
  </si>
  <si>
    <t>Nanesení organického povlaku</t>
  </si>
  <si>
    <t>Kontrola po organickém povlaku</t>
  </si>
  <si>
    <t>Frézování výřezů</t>
  </si>
  <si>
    <t>Rozstřih + dokončení tvaru</t>
  </si>
  <si>
    <t>Vystupní kontrola</t>
  </si>
  <si>
    <t>operace (J0, J., O., N., 4A, 6A, 8A, 10A, 12A, 4B, 6B, 8B, 10B, 12B, T</t>
  </si>
  <si>
    <t>J., J0, J1</t>
  </si>
  <si>
    <t>Broušení hran po drážkování</t>
  </si>
  <si>
    <t xml:space="preserve">Kontrola </t>
  </si>
  <si>
    <t>Elektrický test</t>
  </si>
  <si>
    <t>Vrtání  v.v.</t>
  </si>
  <si>
    <t>Poradi</t>
  </si>
  <si>
    <t>Vrtání s parametry IS620</t>
  </si>
  <si>
    <t>IS620</t>
  </si>
  <si>
    <t>zaplnovane otvory</t>
  </si>
  <si>
    <t>číslo puvodni</t>
  </si>
  <si>
    <t>IS620, zaplnovane otvory</t>
  </si>
  <si>
    <t>slepé otvory ze str. A, zaplnovane</t>
  </si>
  <si>
    <t>slepé otvory ze str. Z, zaplnovane</t>
  </si>
  <si>
    <t xml:space="preserve"> pro otvory ≤ 0,25 mm, zaplnovane</t>
  </si>
  <si>
    <t>podm. Prokovené hloubkové frézování, ! Zaplnovane otvory</t>
  </si>
  <si>
    <t>vylouceni 50</t>
  </si>
  <si>
    <t>!celoplošné galvanické zlacení</t>
  </si>
  <si>
    <t>slepé otvory oboustranně, AR ˃ 0,8,!celoplošné galvanické zlacení</t>
  </si>
  <si>
    <t>slepé otvory ze str. A, AR ˃ 0,8, !celoplošné galvanické zlacení</t>
  </si>
  <si>
    <t>slepé otvory ze str. Z, AR ˃ 0,8, !celoplošné galvanické zlacení</t>
  </si>
  <si>
    <t>slepé otvory oboustranně, AR ˃ 0,8, !celoplošné galvanické zlacení</t>
  </si>
  <si>
    <t>slepé otvory AR ˃ 0,8, !celoplošné galvanické zlacení</t>
  </si>
  <si>
    <t>8. k.t., zaplnovane otvory, !celoplošné galvanické zlacení</t>
  </si>
  <si>
    <t>slepé otvory, AR ˃ 0,8, !celoplošné galvanické zlacení</t>
  </si>
  <si>
    <t>7, 8, Duroid, Arlon, Diclad, Roger, !celoplošné galvanické zlacení</t>
  </si>
  <si>
    <t xml:space="preserve">Arlon, Roger, Duroid, Diclad, </t>
  </si>
  <si>
    <t>MASKA</t>
  </si>
  <si>
    <t>SA,SB</t>
  </si>
  <si>
    <t>V1A,V1B,V2X</t>
  </si>
  <si>
    <t xml:space="preserve">7. a 8. k.t. </t>
  </si>
  <si>
    <t>MA;MB;MX</t>
  </si>
  <si>
    <t>KOD</t>
  </si>
  <si>
    <t>Nanášení nepájivé masky {strana} - sítotisk {barva}</t>
  </si>
  <si>
    <t>pouze zelena</t>
  </si>
  <si>
    <t>všechny ostatní  plus Q</t>
  </si>
  <si>
    <t>všechny ostatní , Q</t>
  </si>
  <si>
    <t>mimo HAL , pokud je zvolen</t>
  </si>
  <si>
    <t xml:space="preserve"> tlouska ˃ 2,0 mm</t>
  </si>
  <si>
    <t>SA;SB</t>
  </si>
  <si>
    <t>když Z není</t>
  </si>
  <si>
    <t>newprint</t>
  </si>
  <si>
    <t>V1A;V1B;V2X</t>
  </si>
  <si>
    <t>(7,8 kt  a IS40 de104) nebo ostatní material</t>
  </si>
  <si>
    <t>doplnit do tpv</t>
  </si>
  <si>
    <t>param stupne, vybrano  stupne</t>
  </si>
  <si>
    <t>(zakaznický panel /ks)</t>
  </si>
  <si>
    <t>na můstky (zakaznický panel /ks), s kamerou, když půlené otvory - "FRÉZOVÁNÍ TVARU - přefrézování otvorů levotočivou frézou dle tech. postupu č. 2"</t>
  </si>
  <si>
    <t>pokud je zvolen</t>
  </si>
  <si>
    <t>Zamaskování zlacených konektorů před HAL</t>
  </si>
  <si>
    <t>ZH</t>
  </si>
  <si>
    <t>když zakaznik, Z, J1</t>
  </si>
  <si>
    <t>Stripování + MEB 2 m/min + imersní cínování</t>
  </si>
  <si>
    <t>Stripování fotorezistu MM540!</t>
  </si>
  <si>
    <t>nebude když je Z, J1 pokud zvoleno T, vyruší 75 a 7,8 kt, G</t>
  </si>
  <si>
    <t>Mytí před výstupní kontrolou</t>
  </si>
  <si>
    <t>Cu-Sn galvanické prokovení {param}</t>
  </si>
  <si>
    <t>Stripování cínu + kartáčování + celoplošné galvanické zlacení</t>
  </si>
  <si>
    <t>NEOPACT-4x = prg 1+1+1+1 + kontrola pokovení technologem</t>
  </si>
  <si>
    <t>Vytvrzení 45 min.</t>
  </si>
  <si>
    <t>Vrtání prokov. zahloub. otvorů</t>
  </si>
  <si>
    <t>Frézování prokovené hloubkové</t>
  </si>
  <si>
    <t>Fazetování konektorů - lisovna</t>
  </si>
  <si>
    <t xml:space="preserve">Frézování konektorů </t>
  </si>
  <si>
    <t>Frézování panelu pro laserové značení</t>
  </si>
  <si>
    <t>Laserové značení</t>
  </si>
  <si>
    <t>Y</t>
  </si>
  <si>
    <t>Kontrola narážecích konektorů</t>
  </si>
  <si>
    <t>narazeci konektroy</t>
  </si>
  <si>
    <t>Drážkování + úprava na panel:</t>
  </si>
  <si>
    <t>Drážkování + ponechat hrubý přířez</t>
  </si>
  <si>
    <t>Drážkování + dělení na jednotlivé DPS</t>
  </si>
  <si>
    <t xml:space="preserve">Frézování tvaru </t>
  </si>
  <si>
    <t xml:space="preserve">Frézování výřezů </t>
  </si>
  <si>
    <t xml:space="preserve">Vrtání </t>
  </si>
  <si>
    <t>Vrtání + frézování prokovené</t>
  </si>
  <si>
    <t>Odstranit modrou folii strany Cu</t>
  </si>
  <si>
    <t>Kartáčování jednostranné - strana Cu</t>
  </si>
  <si>
    <t xml:space="preserve">Leptání (kyselé) + stripování fotorezistu  </t>
  </si>
  <si>
    <t>Optický test</t>
  </si>
  <si>
    <t>Broušení hran po frézování</t>
  </si>
  <si>
    <t>Vrtání materiálu Thermalclad</t>
  </si>
  <si>
    <t>D1;D2;D3</t>
  </si>
  <si>
    <t>F1;F2</t>
  </si>
  <si>
    <t>Pálení šablony</t>
  </si>
  <si>
    <t>Kartáčování / mytí</t>
  </si>
  <si>
    <t>MA;MB;MX;</t>
  </si>
  <si>
    <t>Zabrušování můstků</t>
  </si>
  <si>
    <t>Galvanické zlacení přímých konektorů</t>
  </si>
  <si>
    <t>Kontrola filmů</t>
  </si>
  <si>
    <t>Stříhání flexibilního materiálu</t>
  </si>
  <si>
    <t>Stříhání flexibilní masky A</t>
  </si>
  <si>
    <t>Stříhání flexibilní masky B</t>
  </si>
  <si>
    <t>Stříhání flexibilní masky AB</t>
  </si>
  <si>
    <t>Flex: paketovat</t>
  </si>
  <si>
    <t>Maska/y: paketovat krycí folií dolů</t>
  </si>
  <si>
    <t>Flex: Vrtání</t>
  </si>
  <si>
    <t>Maska: frézování  *.frma</t>
  </si>
  <si>
    <t>Maska: frézování *.frmb</t>
  </si>
  <si>
    <t>Maska: frézování *.frma, *.frmb</t>
  </si>
  <si>
    <t>Frézování podlepu/ů</t>
  </si>
  <si>
    <t>Flex: Mikrozaleptání (MEB)</t>
  </si>
  <si>
    <t>Flex: Neopact prg. 1+7</t>
  </si>
  <si>
    <t>Flex: Navalení fotorezistu</t>
  </si>
  <si>
    <t>Flex: Vytvoření motivu</t>
  </si>
  <si>
    <t>Flex: Vyvolání motivu</t>
  </si>
  <si>
    <t>Flex: Kontrola a retuš motivu</t>
  </si>
  <si>
    <t>Flex: Leptání + stripování (kys. leptačka)</t>
  </si>
  <si>
    <t>Flex: Cu-Sn galvanické pokovení</t>
  </si>
  <si>
    <t>Flex: Stripování fotorezistu</t>
  </si>
  <si>
    <t>Flex: Leptání alkalické</t>
  </si>
  <si>
    <t>Flex: Stripování Sn</t>
  </si>
  <si>
    <t xml:space="preserve">Flex: Kontrola </t>
  </si>
  <si>
    <t>Kontrola plošek na zařízení Vision Lynx</t>
  </si>
  <si>
    <t>Stripování + MEB 2m/min +  Imersní cínování</t>
  </si>
  <si>
    <t>Kontrola po Imersním cínování</t>
  </si>
  <si>
    <t>Imersní zlacení</t>
  </si>
  <si>
    <t>Kontrola po Imersním zlacení</t>
  </si>
  <si>
    <t>Stříhání podložek pro frézování</t>
  </si>
  <si>
    <t>Vrtání programu podložka</t>
  </si>
  <si>
    <t>Vrtání programu body s kamerou</t>
  </si>
  <si>
    <t>Vrtání neprokovených otvorů</t>
  </si>
  <si>
    <t>Dokončení tvaru - rozstřih nebo ostřih</t>
  </si>
  <si>
    <t>F1,F2 nebo pokud je zvolen samostatný soubor - kolonka 310</t>
  </si>
  <si>
    <t>F1,F2 nebo pokud je zvolen samostatný soubor - kolonka 311</t>
  </si>
  <si>
    <t>F1,F2 nebo pokud je zvolen samostatný soubor - kolonka 312</t>
  </si>
  <si>
    <t>pokud je zvolen samostatný soubor - kolonka 310</t>
  </si>
  <si>
    <t xml:space="preserve">F2 </t>
  </si>
  <si>
    <t>L + podlepy</t>
  </si>
  <si>
    <t>Stříhání podlepu/ů</t>
  </si>
  <si>
    <t>MA;MB;MX + podlepy</t>
  </si>
  <si>
    <t xml:space="preserve">Registrace flex </t>
  </si>
  <si>
    <t>Podlep/y: paketovat</t>
  </si>
  <si>
    <t>Sušení 45min při 50 °C</t>
  </si>
  <si>
    <t>Aktivace, sušení na WESSERO</t>
  </si>
  <si>
    <t>Flex: maska paketovat</t>
  </si>
  <si>
    <t>Arlon, Roger, Duroid, Diclad, slepé otvory oboustranně, zaplnovane</t>
  </si>
  <si>
    <t>Frézování prokovené</t>
  </si>
  <si>
    <t>Nanášení nepájivé masky {strana} - {barva}</t>
  </si>
  <si>
    <t>100.1</t>
  </si>
  <si>
    <t>101.1</t>
  </si>
  <si>
    <t>102.1</t>
  </si>
  <si>
    <t>109.1</t>
  </si>
  <si>
    <t>108.1</t>
  </si>
  <si>
    <t>100.2</t>
  </si>
  <si>
    <t>101.2</t>
  </si>
  <si>
    <t>102.2</t>
  </si>
  <si>
    <t>109.2</t>
  </si>
  <si>
    <t>108.2</t>
  </si>
  <si>
    <t>100.0</t>
  </si>
  <si>
    <t>101.0</t>
  </si>
  <si>
    <t>102.0</t>
  </si>
  <si>
    <t>108.0</t>
  </si>
  <si>
    <t>109.0</t>
  </si>
  <si>
    <t>2.Nanášení nepájivé masky {strana} - {barva}</t>
  </si>
  <si>
    <t>2.Nanášení nepájivé masky {strana} - sítotisk {barva}</t>
  </si>
  <si>
    <t>103.0</t>
  </si>
  <si>
    <t>104.0</t>
  </si>
  <si>
    <t>105.0</t>
  </si>
  <si>
    <t>106.0</t>
  </si>
  <si>
    <t>103.1</t>
  </si>
  <si>
    <t>104.1</t>
  </si>
  <si>
    <t>105.1</t>
  </si>
  <si>
    <t>106.1</t>
  </si>
  <si>
    <t>107.0</t>
  </si>
  <si>
    <t>PA</t>
  </si>
  <si>
    <t>107.1</t>
  </si>
  <si>
    <t>PB</t>
  </si>
  <si>
    <t>PX</t>
  </si>
  <si>
    <t>128.1</t>
  </si>
  <si>
    <t>128.2</t>
  </si>
  <si>
    <t>107.2</t>
  </si>
  <si>
    <t>128.0</t>
  </si>
  <si>
    <t>Potisk {strana} - sitotisk {barva}, vytvrzeni</t>
  </si>
  <si>
    <t>110.0</t>
  </si>
  <si>
    <t>110.1</t>
  </si>
  <si>
    <t>110.2</t>
  </si>
  <si>
    <t>112.0</t>
  </si>
  <si>
    <t>112.1</t>
  </si>
  <si>
    <t>112.2</t>
  </si>
  <si>
    <t>Potisk NEWPRINT {strana}</t>
  </si>
  <si>
    <t>13.0</t>
  </si>
  <si>
    <t>14.0</t>
  </si>
  <si>
    <t>15.0</t>
  </si>
  <si>
    <t>16.0</t>
  </si>
  <si>
    <t>17.0</t>
  </si>
  <si>
    <t>18.0</t>
  </si>
  <si>
    <t>19.0</t>
  </si>
  <si>
    <t>21.0</t>
  </si>
  <si>
    <t>99.1</t>
  </si>
  <si>
    <t>MA;MX</t>
  </si>
  <si>
    <t>MB;MX</t>
  </si>
  <si>
    <t>103.2</t>
  </si>
  <si>
    <t>104.2</t>
  </si>
  <si>
    <t>105.2</t>
  </si>
  <si>
    <t>106.2</t>
  </si>
  <si>
    <t>{param1} + {param2}</t>
  </si>
  <si>
    <t>29.0</t>
  </si>
  <si>
    <t>53.0</t>
  </si>
  <si>
    <t>Kartáčování</t>
  </si>
  <si>
    <t>Zasušení v peci 30 min. 150oC</t>
  </si>
  <si>
    <t>Zaplnění otvorů</t>
  </si>
  <si>
    <t>Vytvrzení plugin pasty 1 hod.  150oC</t>
  </si>
  <si>
    <t>Kartáčování do odstranění zbytků zaplnovací pasty</t>
  </si>
  <si>
    <t>Kontrola zaplněných otvorů</t>
  </si>
  <si>
    <t>Vrtání se slepými otvory - strana A</t>
  </si>
  <si>
    <t>Vrtání se slepými otvory - strana Z</t>
  </si>
  <si>
    <t xml:space="preserve">Leptání (kyselé) + stripování rezistu  </t>
  </si>
  <si>
    <t>Volat technologa - úprava plochy</t>
  </si>
  <si>
    <t>Kontrola a retuš motivu slepých otvorů</t>
  </si>
  <si>
    <t>Vytvorění motivu masky {strana}</t>
  </si>
  <si>
    <t>2.Vytvorění motivu masky {strana}</t>
  </si>
  <si>
    <t>Kontrola po imersním zlacení</t>
  </si>
  <si>
    <t>Kontrola po imersním cínování</t>
  </si>
  <si>
    <t>Fazetování konektorů - V-fréza</t>
  </si>
  <si>
    <t xml:space="preserve">Tisk snímatelné masky </t>
  </si>
  <si>
    <t>Aplikace kaptonové pásky</t>
  </si>
  <si>
    <t xml:space="preserve">Karbonová pasta na straně </t>
  </si>
  <si>
    <t>Potisk {strana} - sítotisk {barva}, vytvrzení</t>
  </si>
  <si>
    <t>Odstranit ochrann. folii strany Al (mytí)</t>
  </si>
  <si>
    <t>Drážkování + úprava na panel</t>
  </si>
  <si>
    <t>Mytí Thermalclad (linka po HAL)</t>
  </si>
  <si>
    <t xml:space="preserve">do $$ begin IF EXISTS (SELECT 1 FROM operace WHERE operace_id = </t>
  </si>
  <si>
    <t xml:space="preserve">INSERT INTO OPERACE (operace_id, nazev, kod, </t>
  </si>
  <si>
    <t>13.1</t>
  </si>
  <si>
    <t>14.1</t>
  </si>
  <si>
    <t>15.1</t>
  </si>
  <si>
    <t>16.1</t>
  </si>
  <si>
    <t>17.1</t>
  </si>
  <si>
    <t>18.1</t>
  </si>
  <si>
    <t>19.1</t>
  </si>
  <si>
    <t>21.1</t>
  </si>
  <si>
    <t>13.2</t>
  </si>
  <si>
    <t>14.2</t>
  </si>
  <si>
    <t>15.2</t>
  </si>
  <si>
    <t>16.2</t>
  </si>
  <si>
    <t>17.2</t>
  </si>
  <si>
    <t>18.2</t>
  </si>
  <si>
    <t>19.2</t>
  </si>
  <si>
    <t>21.2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</si>
</sst>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72">
    <xf numFmtId="0" fontId="0" fillId="0" borderId="0" xfId="0"/>
    <xf numFmtId="1" fontId="3" fillId="0" borderId="1" xfId="1" applyNumberFormat="1" applyFont="1" applyBorder="1"/>
    <xf numFmtId="0" fontId="3" fillId="0" borderId="1" xfId="1" applyFont="1" applyBorder="1"/>
    <xf numFmtId="0" fontId="3" fillId="2" borderId="1" xfId="1" applyFont="1" applyFill="1" applyBorder="1"/>
    <xf numFmtId="0" fontId="0" fillId="0" borderId="0" xfId="0" applyAlignment="1">
      <alignment horizontal="center"/>
    </xf>
    <xf numFmtId="0" fontId="2" fillId="0" borderId="0" xfId="1" applyFont="1" applyBorder="1"/>
    <xf numFmtId="0" fontId="1" fillId="0" borderId="0" xfId="1" applyBorder="1" applyAlignment="1">
      <alignment horizontal="left"/>
    </xf>
    <xf numFmtId="0" fontId="2" fillId="0" borderId="0" xfId="1" applyFont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1" fontId="3" fillId="0" borderId="1" xfId="1" applyNumberFormat="1" applyFont="1" applyFill="1" applyBorder="1"/>
    <xf numFmtId="0" fontId="3" fillId="0" borderId="1" xfId="1" applyFont="1" applyFill="1" applyBorder="1"/>
    <xf numFmtId="0" fontId="0" fillId="0" borderId="0" xfId="0" applyBorder="1"/>
    <xf numFmtId="1" fontId="3" fillId="3" borderId="1" xfId="1" applyNumberFormat="1" applyFont="1" applyFill="1" applyBorder="1"/>
    <xf numFmtId="0" fontId="3" fillId="3" borderId="1" xfId="1" applyFont="1" applyFill="1" applyBorder="1"/>
    <xf numFmtId="0" fontId="3" fillId="4" borderId="1" xfId="1" applyFont="1" applyFill="1" applyBorder="1"/>
    <xf numFmtId="1" fontId="3" fillId="4" borderId="1" xfId="1" applyNumberFormat="1" applyFont="1" applyFill="1" applyBorder="1"/>
    <xf numFmtId="0" fontId="4" fillId="4" borderId="1" xfId="0" applyFont="1" applyFill="1" applyBorder="1"/>
    <xf numFmtId="0" fontId="0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1" applyFont="1" applyFill="1" applyBorder="1" applyAlignment="1">
      <alignment horizontal="left"/>
    </xf>
    <xf numFmtId="1" fontId="3" fillId="0" borderId="2" xfId="1" applyNumberFormat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1" fontId="3" fillId="0" borderId="4" xfId="1" applyNumberFormat="1" applyFont="1" applyBorder="1"/>
    <xf numFmtId="0" fontId="0" fillId="0" borderId="3" xfId="0" applyBorder="1"/>
    <xf numFmtId="1" fontId="3" fillId="0" borderId="5" xfId="1" applyNumberFormat="1" applyFont="1" applyBorder="1"/>
    <xf numFmtId="1" fontId="3" fillId="0" borderId="5" xfId="1" applyNumberFormat="1" applyFont="1" applyFill="1" applyBorder="1"/>
    <xf numFmtId="1" fontId="3" fillId="0" borderId="4" xfId="1" applyNumberFormat="1" applyFont="1" applyFill="1" applyBorder="1"/>
    <xf numFmtId="1" fontId="3" fillId="0" borderId="6" xfId="1" applyNumberFormat="1" applyFont="1" applyFill="1" applyBorder="1"/>
    <xf numFmtId="0" fontId="3" fillId="0" borderId="5" xfId="1" applyFont="1" applyBorder="1"/>
    <xf numFmtId="1" fontId="3" fillId="0" borderId="6" xfId="1" applyNumberFormat="1" applyFont="1" applyBorder="1"/>
    <xf numFmtId="1" fontId="3" fillId="0" borderId="0" xfId="1" applyNumberFormat="1" applyFont="1" applyBorder="1"/>
    <xf numFmtId="0" fontId="3" fillId="0" borderId="0" xfId="1" applyFont="1" applyFill="1" applyBorder="1"/>
    <xf numFmtId="0" fontId="3" fillId="3" borderId="0" xfId="1" applyFont="1" applyFill="1" applyBorder="1"/>
    <xf numFmtId="0" fontId="3" fillId="0" borderId="0" xfId="1" applyFont="1" applyBorder="1"/>
    <xf numFmtId="1" fontId="3" fillId="0" borderId="0" xfId="1" applyNumberFormat="1" applyFont="1" applyFill="1" applyBorder="1"/>
    <xf numFmtId="1" fontId="3" fillId="3" borderId="0" xfId="1" applyNumberFormat="1" applyFont="1" applyFill="1" applyBorder="1"/>
    <xf numFmtId="0" fontId="3" fillId="4" borderId="0" xfId="1" applyFont="1" applyFill="1" applyBorder="1"/>
    <xf numFmtId="1" fontId="3" fillId="4" borderId="0" xfId="1" applyNumberFormat="1" applyFont="1" applyFill="1" applyBorder="1"/>
    <xf numFmtId="0" fontId="4" fillId="4" borderId="0" xfId="0" applyFont="1" applyFill="1" applyBorder="1"/>
    <xf numFmtId="0" fontId="3" fillId="0" borderId="3" xfId="1" applyFont="1" applyFill="1" applyBorder="1"/>
    <xf numFmtId="1" fontId="3" fillId="0" borderId="3" xfId="1" applyNumberFormat="1" applyFont="1" applyBorder="1"/>
    <xf numFmtId="0" fontId="3" fillId="0" borderId="3" xfId="1" applyFont="1" applyBorder="1"/>
    <xf numFmtId="1" fontId="3" fillId="0" borderId="3" xfId="1" applyNumberFormat="1" applyFont="1" applyFill="1" applyBorder="1"/>
    <xf numFmtId="0" fontId="0" fillId="0" borderId="6" xfId="0" applyFont="1" applyFill="1" applyBorder="1"/>
    <xf numFmtId="0" fontId="0" fillId="0" borderId="0" xfId="0" applyFill="1" applyBorder="1"/>
    <xf numFmtId="0" fontId="0" fillId="0" borderId="7" xfId="0" applyBorder="1"/>
    <xf numFmtId="0" fontId="0" fillId="0" borderId="9" xfId="0" applyBorder="1" applyAlignment="1"/>
    <xf numFmtId="0" fontId="0" fillId="0" borderId="3" xfId="0" applyBorder="1" applyAlignment="1"/>
    <xf numFmtId="0" fontId="5" fillId="0" borderId="7" xfId="0" applyFont="1" applyFill="1" applyBorder="1" applyAlignment="1"/>
    <xf numFmtId="0" fontId="0" fillId="0" borderId="8" xfId="0" applyBorder="1" applyAlignment="1"/>
    <xf numFmtId="0" fontId="0" fillId="0" borderId="8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Fill="1"/>
    <xf numFmtId="0" fontId="4" fillId="0" borderId="1" xfId="0" applyFont="1" applyFill="1" applyBorder="1"/>
    <xf numFmtId="0" fontId="0" fillId="0" borderId="0" xfId="0" applyBorder="1" applyAlignment="1"/>
    <xf numFmtId="0" fontId="6" fillId="5" borderId="0" xfId="2"/>
    <xf numFmtId="0" fontId="8" fillId="7" borderId="0" xfId="4"/>
    <xf numFmtId="0" fontId="8" fillId="7" borderId="0" xfId="4" applyAlignment="1">
      <alignment vertical="top" textRotation="255"/>
    </xf>
    <xf numFmtId="0" fontId="8" fillId="7" borderId="3" xfId="4" applyBorder="1"/>
    <xf numFmtId="0" fontId="8" fillId="7" borderId="0" xfId="4" applyBorder="1"/>
    <xf numFmtId="0" fontId="7" fillId="6" borderId="0" xfId="3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>
      <alignment horizontal="center"/>
    </xf>
    <xf numFmtId="0" fontId="0" fillId="0" borderId="3" xfId="0" applyFill="1" applyBorder="1"/>
    <xf numFmtId="16" fontId="0" fillId="0" borderId="0" xfId="0" applyNumberFormat="1"/>
    <xf numFmtId="49" fontId="0" fillId="0" borderId="0" xfId="0" applyNumberFormat="1"/>
  </cellXfs>
  <cellStyles count="5">
    <cellStyle name="Neutrální" xfId="4" builtinId="28"/>
    <cellStyle name="Normální" xfId="0" builtinId="0"/>
    <cellStyle name="Normální 2" xfId="1"/>
    <cellStyle name="Správně" xfId="2" builtinId="26"/>
    <cellStyle name="Špatně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5"/>
  <sheetViews>
    <sheetView tabSelected="1" workbookViewId="0">
      <pane ySplit="1" topLeftCell="A248" activePane="bottomLeft" state="frozen"/>
      <selection pane="bottomLeft" activeCell="B279" sqref="B279"/>
    </sheetView>
  </sheetViews>
  <sheetFormatPr defaultRowHeight="15" x14ac:dyDescent="0.25"/>
  <cols>
    <col min="1" max="1" width="14.85546875" customWidth="1"/>
    <col min="3" max="3" width="12.28515625" customWidth="1"/>
    <col min="5" max="5" width="57.42578125" customWidth="1"/>
    <col min="6" max="7" width="30.28515625" customWidth="1"/>
    <col min="8" max="8" width="72" customWidth="1"/>
    <col min="9" max="9" width="8.7109375" customWidth="1"/>
    <col min="10" max="10" width="12.7109375" customWidth="1"/>
    <col min="11" max="11" width="9.7109375" customWidth="1"/>
    <col min="12" max="12" width="9.42578125" customWidth="1"/>
    <col min="28" max="28" width="53.7109375" customWidth="1"/>
    <col min="29" max="29" width="255.7109375" customWidth="1"/>
  </cols>
  <sheetData>
    <row r="1" spans="1:30" x14ac:dyDescent="0.25">
      <c r="B1" t="s">
        <v>136</v>
      </c>
      <c r="C1" t="s">
        <v>140</v>
      </c>
      <c r="D1" t="s">
        <v>82</v>
      </c>
      <c r="E1" t="s">
        <v>130</v>
      </c>
      <c r="F1" t="s">
        <v>162</v>
      </c>
      <c r="H1" t="s">
        <v>81</v>
      </c>
      <c r="I1" t="s">
        <v>73</v>
      </c>
      <c r="J1" t="s">
        <v>58</v>
      </c>
      <c r="K1" s="5" t="s">
        <v>57</v>
      </c>
      <c r="L1" s="5" t="s">
        <v>55</v>
      </c>
      <c r="M1" s="5" t="s">
        <v>56</v>
      </c>
      <c r="N1" s="6" t="s">
        <v>62</v>
      </c>
      <c r="O1" s="6" t="s">
        <v>63</v>
      </c>
      <c r="P1" s="6" t="s">
        <v>64</v>
      </c>
      <c r="Q1" s="6" t="s">
        <v>65</v>
      </c>
      <c r="R1" s="6" t="s">
        <v>66</v>
      </c>
      <c r="S1" s="6" t="s">
        <v>67</v>
      </c>
      <c r="T1" s="7" t="s">
        <v>68</v>
      </c>
      <c r="U1" s="7" t="s">
        <v>69</v>
      </c>
      <c r="V1" s="7" t="s">
        <v>70</v>
      </c>
      <c r="W1" s="8" t="s">
        <v>71</v>
      </c>
      <c r="X1" s="8" t="s">
        <v>72</v>
      </c>
      <c r="Y1" s="20" t="s">
        <v>61</v>
      </c>
      <c r="Z1" s="20" t="s">
        <v>59</v>
      </c>
      <c r="AA1" s="20" t="s">
        <v>60</v>
      </c>
      <c r="AC1" s="20" t="s">
        <v>352</v>
      </c>
      <c r="AD1" s="20" t="s">
        <v>353</v>
      </c>
    </row>
    <row r="2" spans="1:30" x14ac:dyDescent="0.25">
      <c r="A2" s="61"/>
      <c r="B2">
        <v>1</v>
      </c>
      <c r="D2">
        <v>1</v>
      </c>
      <c r="E2" s="1" t="s">
        <v>0</v>
      </c>
      <c r="F2" s="35"/>
      <c r="G2" s="35"/>
      <c r="J2" t="s">
        <v>58</v>
      </c>
      <c r="K2" t="s">
        <v>57</v>
      </c>
      <c r="L2" t="s">
        <v>55</v>
      </c>
      <c r="M2" t="s">
        <v>56</v>
      </c>
      <c r="N2" t="s">
        <v>62</v>
      </c>
      <c r="O2" s="4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AB2" t="str">
        <f>CONCATENATE(I2,";",J2,";",K2,";",L2,";",M2,";",N2,";",O2,";",P2,";",Q2,";",R2,";",S2,";",T2,";",U2,";",V2,";",W2,";",X2,";",Y2,";",Z2,";",AA2)</f>
        <v>;S.;J0;J.;O.;N.;4A;6A;8A;10A;12A;4B;6B;8B;10B;12B;;;</v>
      </c>
      <c r="AC2" t="str">
        <f>CONCATENATE($AC$1,D2,") THEN update operace set kod = '",F2,"', nazev = '",E2,"', popis = '",H2,"', filtr = '",AB2,"', poradi = ",B2," where operace_id = ",D2,"; ELSE INSERT INTO OPERACE (operace_id, nazev, popis, filtr, kod, poradi) VALUES (", D2,",'",E2,"','",H2,"','",AB2,"','",F2,"',",B2,"); END IF; END $$;" )</f>
        <v>do $$ begin IF EXISTS (SELECT 1 FROM operace WHERE operace_id = 1) THEN update operace set kod = '', nazev = 'Střihání základního materiálu', popis = '', filtr = ';S.;J0;J.;O.;N.;4A;6A;8A;10A;12A;4B;6B;8B;10B;12B;;;', poradi = 1 where operace_id = 1; ELSE INSERT INTO OPERACE (operace_id, nazev, popis, filtr, kod, poradi) VALUES (1,'Střihání základního materiálu','',';S.;J0;J.;O.;N.;4A;6A;8A;10A;12A;4B;6B;8B;10B;12B;;;','',1); END IF; END $$;</v>
      </c>
    </row>
    <row r="3" spans="1:30" x14ac:dyDescent="0.25">
      <c r="A3" s="65"/>
      <c r="B3">
        <v>2</v>
      </c>
      <c r="D3">
        <v>2200</v>
      </c>
      <c r="E3" s="1" t="s">
        <v>214</v>
      </c>
      <c r="F3" s="35"/>
      <c r="G3" s="35"/>
      <c r="I3" t="s">
        <v>73</v>
      </c>
      <c r="O3" s="4"/>
      <c r="AB3" t="str">
        <f>CONCATENATE(I3,";",J3,";",K3,";",L3,";",M3,";",N3,";",O3,";",P3,";",Q3,";",R3,";",S3,";",T3,";",U3,";",V3,";",W3,";",X3,";",Y3,";",Z3,";",AA3)</f>
        <v>SN;;;;;;;;;;;;;;;;;;</v>
      </c>
      <c r="AC3" t="str">
        <f t="shared" ref="AC3:AC66" si="0">CONCATENATE($AC$1,D3,") THEN update operace set kod = '",F3,"', nazev = '",E3,"', popis = '",H3,"', filtr = '",AB3,"', poradi = ",B3," where operace_id = ",D3,"; ELSE INSERT INTO OPERACE (operace_id, nazev, popis, filtr, kod, poradi) VALUES (", D3,",'",E3,"','",H3,"','",AB3,"','",F3,"',",B3,"); END IF; END $$;" )</f>
        <v>do $$ begin IF EXISTS (SELECT 1 FROM operace WHERE operace_id = 2200) THEN update operace set kod = '', nazev = 'Pálení šablony', popis = '', filtr = 'SN;;;;;;;;;;;;;;;;;;', poradi = 2 where operace_id = 2200; ELSE INSERT INTO OPERACE (operace_id, nazev, popis, filtr, kod, poradi) VALUES (2200,'Pálení šablony','','SN;;;;;;;;;;;;;;;;;;','',2); END IF; END $$;</v>
      </c>
    </row>
    <row r="4" spans="1:30" x14ac:dyDescent="0.25">
      <c r="A4" s="65"/>
      <c r="B4">
        <v>3</v>
      </c>
      <c r="D4">
        <v>2201</v>
      </c>
      <c r="E4" s="1" t="s">
        <v>215</v>
      </c>
      <c r="F4" s="35"/>
      <c r="G4" s="35"/>
      <c r="I4" t="s">
        <v>73</v>
      </c>
      <c r="O4" s="4"/>
      <c r="AB4" t="str">
        <f>CONCATENATE(I4,";",J4,";",K4,";",L4,";",M4,";",N4,";",O4,";",P4,";",Q4,";",R4,";",S4,";",T4,";",U4,";",V4,";",W4,";",X4,";",Y4,";",Z4,";",AA4)</f>
        <v>SN;;;;;;;;;;;;;;;;;;</v>
      </c>
      <c r="AC4" t="str">
        <f t="shared" si="0"/>
        <v>do $$ begin IF EXISTS (SELECT 1 FROM operace WHERE operace_id = 2201) THEN update operace set kod = '', nazev = 'Kartáčování / mytí', popis = '', filtr = 'SN;;;;;;;;;;;;;;;;;;', poradi = 3 where operace_id = 2201; ELSE INSERT INTO OPERACE (operace_id, nazev, popis, filtr, kod, poradi) VALUES (2201,'Kartáčování / mytí','','SN;;;;;;;;;;;;;;;;;;','',3); END IF; END $$;</v>
      </c>
    </row>
    <row r="5" spans="1:30" x14ac:dyDescent="0.25">
      <c r="A5" s="61"/>
      <c r="B5">
        <v>4</v>
      </c>
      <c r="D5">
        <v>2</v>
      </c>
      <c r="E5" s="1" t="s">
        <v>1</v>
      </c>
      <c r="F5" s="35"/>
      <c r="G5" s="35"/>
      <c r="H5" s="17" t="s">
        <v>122</v>
      </c>
      <c r="I5" s="17"/>
      <c r="J5" s="39"/>
      <c r="K5" t="s">
        <v>57</v>
      </c>
      <c r="L5" t="s">
        <v>55</v>
      </c>
      <c r="M5" t="s">
        <v>56</v>
      </c>
      <c r="N5" t="s">
        <v>62</v>
      </c>
      <c r="O5" s="4"/>
      <c r="AB5" t="str">
        <f>CONCATENATE(I5,";",J5,";",K5,";",L5,";",M5,";",N5,";",O5,";",P5,";",Q5,";",R5,";",S5,";",T5,";",U5,";",V5,";",W5,";",X5,";",Y5,";",Z5,";",AA5)</f>
        <v>;;J0;J.;O.;N.;;;;;;;;;;;;;</v>
      </c>
      <c r="AC5" t="str">
        <f t="shared" si="0"/>
        <v>do $$ begin IF EXISTS (SELECT 1 FROM operace WHERE operace_id = 2) THEN update operace set kod = '', nazev = 'Fazetovat hrany pro zlacení', popis = 'imersní zlacení,  ≤ 2,0 mm', filtr = ';;J0;J.;O.;N.;;;;;;;;;;;;;', poradi = 4 where operace_id = 2; ELSE INSERT INTO OPERACE (operace_id, nazev, popis, filtr, kod, poradi) VALUES (2,'Fazetovat hrany pro zlacení','imersní zlacení,  ≤ 2,0 mm',';;J0;J.;O.;N.;;;;;;;;;;;;;','',4); END IF; END $$;</v>
      </c>
    </row>
    <row r="6" spans="1:30" x14ac:dyDescent="0.25">
      <c r="A6" s="61"/>
      <c r="B6">
        <v>5</v>
      </c>
      <c r="D6">
        <v>3</v>
      </c>
      <c r="E6" s="10" t="s">
        <v>2</v>
      </c>
      <c r="F6" s="36"/>
      <c r="G6" s="36"/>
      <c r="L6" t="s">
        <v>55</v>
      </c>
      <c r="M6" t="s">
        <v>56</v>
      </c>
      <c r="N6" t="s">
        <v>62</v>
      </c>
      <c r="O6" s="4" t="s">
        <v>63</v>
      </c>
      <c r="AB6" t="str">
        <f t="shared" ref="AB6:AB69" si="1">CONCATENATE(I6,";",J6,";",K6,";",L6,";",M6,";",N6,";",O6,";",P6,";",Q6,";",R6,";",S6,";",T6,";",U6,";",V6,";",W6,";",X6,";",Y6,";",Z6,";",AA6)</f>
        <v>;;;J.;O.;N.;4A;;;;;;;;;;;;</v>
      </c>
      <c r="AC6" t="str">
        <f t="shared" si="0"/>
        <v>do $$ begin IF EXISTS (SELECT 1 FROM operace WHERE operace_id = 3) THEN update operace set kod = '', nazev = 'Děrování a paketování', popis = '', filtr = ';;;J.;O.;N.;4A;;;;;;;;;;;;', poradi = 5 where operace_id = 3; ELSE INSERT INTO OPERACE (operace_id, nazev, popis, filtr, kod, poradi) VALUES (3,'Děrování a paketování','',';;;J.;O.;N.;4A;;;;;;;;;;;;','',5); END IF; END $$;</v>
      </c>
    </row>
    <row r="7" spans="1:30" x14ac:dyDescent="0.25">
      <c r="A7" s="61"/>
      <c r="B7">
        <v>6</v>
      </c>
      <c r="D7">
        <v>901</v>
      </c>
      <c r="E7" s="13" t="s">
        <v>135</v>
      </c>
      <c r="F7" s="37"/>
      <c r="G7" s="37"/>
      <c r="H7" s="22"/>
      <c r="I7" s="22"/>
      <c r="J7" s="22"/>
      <c r="K7" s="22"/>
      <c r="L7" s="22"/>
      <c r="M7" s="22"/>
      <c r="N7" s="22"/>
      <c r="O7" s="23" t="s">
        <v>63</v>
      </c>
      <c r="AB7" t="str">
        <f t="shared" si="1"/>
        <v>;;;;;;4A;;;;;;;;;;;;</v>
      </c>
      <c r="AC7" t="str">
        <f t="shared" si="0"/>
        <v>do $$ begin IF EXISTS (SELECT 1 FROM operace WHERE operace_id = 901) THEN update operace set kod = '', nazev = 'Vrtání  v.v.', popis = '', filtr = ';;;;;;4A;;;;;;;;;;;;', poradi = 6 where operace_id = 901; ELSE INSERT INTO OPERACE (operace_id, nazev, popis, filtr, kod, poradi) VALUES (901,'Vrtání  v.v.','',';;;;;;4A;;;;;;;;;;;;','',6); END IF; END $$;</v>
      </c>
    </row>
    <row r="8" spans="1:30" x14ac:dyDescent="0.25">
      <c r="A8" s="61"/>
      <c r="B8">
        <v>7</v>
      </c>
      <c r="D8">
        <v>4</v>
      </c>
      <c r="E8" s="2" t="s">
        <v>112</v>
      </c>
      <c r="F8" s="38"/>
      <c r="G8" s="38"/>
      <c r="O8" s="4" t="s">
        <v>63</v>
      </c>
      <c r="P8" t="s">
        <v>64</v>
      </c>
      <c r="Q8" t="s">
        <v>65</v>
      </c>
      <c r="R8" t="s">
        <v>66</v>
      </c>
      <c r="S8" t="s">
        <v>67</v>
      </c>
      <c r="T8" t="s">
        <v>68</v>
      </c>
      <c r="U8" t="s">
        <v>69</v>
      </c>
      <c r="V8" t="s">
        <v>70</v>
      </c>
      <c r="W8" t="s">
        <v>71</v>
      </c>
      <c r="X8" t="s">
        <v>72</v>
      </c>
      <c r="AB8" t="str">
        <f t="shared" si="1"/>
        <v>;;;;;;4A;6A;8A;10A;12A;4B;6B;8B;10B;12B;;;</v>
      </c>
      <c r="AC8" t="str">
        <f t="shared" si="0"/>
        <v>do $$ begin IF EXISTS (SELECT 1 FROM operace WHERE operace_id = 4) THEN update operace set kod = '', nazev = 'Mikrozaleptání (MEB)   v.v.', popis = '', filtr = ';;;;;;4A;6A;8A;10A;12A;4B;6B;8B;10B;12B;;;', poradi = 7 where operace_id = 4; ELSE INSERT INTO OPERACE (operace_id, nazev, popis, filtr, kod, poradi) VALUES (4,'Mikrozaleptání (MEB)   v.v.','',';;;;;;4A;6A;8A;10A;12A;4B;6B;8B;10B;12B;;;','',7); END IF; END $$;</v>
      </c>
    </row>
    <row r="9" spans="1:30" x14ac:dyDescent="0.25">
      <c r="B9">
        <v>1</v>
      </c>
      <c r="D9">
        <v>3001</v>
      </c>
      <c r="E9" t="s">
        <v>219</v>
      </c>
      <c r="K9" t="s">
        <v>57</v>
      </c>
      <c r="L9" t="s">
        <v>55</v>
      </c>
      <c r="N9" t="s">
        <v>62</v>
      </c>
      <c r="O9" s="4" t="s">
        <v>63</v>
      </c>
      <c r="P9" t="s">
        <v>64</v>
      </c>
      <c r="Q9" t="s">
        <v>65</v>
      </c>
      <c r="R9" t="s">
        <v>66</v>
      </c>
      <c r="S9" t="s">
        <v>67</v>
      </c>
      <c r="T9" t="s">
        <v>68</v>
      </c>
      <c r="U9" t="s">
        <v>69</v>
      </c>
      <c r="V9" t="s">
        <v>70</v>
      </c>
      <c r="W9" t="s">
        <v>71</v>
      </c>
      <c r="X9" t="s">
        <v>72</v>
      </c>
      <c r="AB9" t="str">
        <f t="shared" si="1"/>
        <v>;;J0;J.;;N.;4A;6A;8A;10A;12A;4B;6B;8B;10B;12B;;;</v>
      </c>
      <c r="AC9" t="str">
        <f t="shared" si="0"/>
        <v>do $$ begin IF EXISTS (SELECT 1 FROM operace WHERE operace_id = 3001) THEN update operace set kod = '', nazev = 'Kontrola filmů', popis = '', filtr = ';;J0;J.;;N.;4A;6A;8A;10A;12A;4B;6B;8B;10B;12B;;;', poradi = 1 where operace_id = 3001; ELSE INSERT INTO OPERACE (operace_id, nazev, popis, filtr, kod, poradi) VALUES (3001,'Kontrola filmů','',';;J0;J.;;N.;4A;6A;8A;10A;12A;4B;6B;8B;10B;12B;;;','',1); END IF; END $$;</v>
      </c>
    </row>
    <row r="10" spans="1:30" x14ac:dyDescent="0.25">
      <c r="A10" s="61"/>
      <c r="B10">
        <v>8</v>
      </c>
      <c r="D10">
        <v>5</v>
      </c>
      <c r="E10" s="2" t="s">
        <v>113</v>
      </c>
      <c r="F10" s="38"/>
      <c r="G10" s="38"/>
      <c r="O10" s="4" t="s">
        <v>63</v>
      </c>
      <c r="P10" t="s">
        <v>64</v>
      </c>
      <c r="Q10" t="s">
        <v>65</v>
      </c>
      <c r="R10" t="s">
        <v>66</v>
      </c>
      <c r="S10" t="s">
        <v>67</v>
      </c>
      <c r="T10" t="s">
        <v>68</v>
      </c>
      <c r="U10" t="s">
        <v>69</v>
      </c>
      <c r="V10" t="s">
        <v>70</v>
      </c>
      <c r="W10" t="s">
        <v>71</v>
      </c>
      <c r="X10" t="s">
        <v>72</v>
      </c>
      <c r="AB10" t="str">
        <f t="shared" si="1"/>
        <v>;;;;;;4A;6A;8A;10A;12A;4B;6B;8B;10B;12B;;;</v>
      </c>
      <c r="AC10" t="str">
        <f t="shared" si="0"/>
        <v>do $$ begin IF EXISTS (SELECT 1 FROM operace WHERE operace_id = 5) THEN update operace set kod = '', nazev = 'Navalení fotorezistu   v.v.', popis = '', filtr = ';;;;;;4A;6A;8A;10A;12A;4B;6B;8B;10B;12B;;;', poradi = 8 where operace_id = 5; ELSE INSERT INTO OPERACE (operace_id, nazev, popis, filtr, kod, poradi) VALUES (5,'Navalení fotorezistu   v.v.','',';;;;;;4A;6A;8A;10A;12A;4B;6B;8B;10B;12B;;;','',8); END IF; END $$;</v>
      </c>
    </row>
    <row r="11" spans="1:30" x14ac:dyDescent="0.25">
      <c r="A11" s="61"/>
      <c r="B11">
        <v>9</v>
      </c>
      <c r="D11">
        <v>6</v>
      </c>
      <c r="E11" s="2" t="s">
        <v>114</v>
      </c>
      <c r="F11" s="38"/>
      <c r="G11" s="38"/>
      <c r="O11" s="4" t="s">
        <v>63</v>
      </c>
      <c r="P11" t="s">
        <v>64</v>
      </c>
      <c r="Q11" t="s">
        <v>65</v>
      </c>
      <c r="R11" t="s">
        <v>66</v>
      </c>
      <c r="S11" t="s">
        <v>67</v>
      </c>
      <c r="T11" t="s">
        <v>68</v>
      </c>
      <c r="U11" t="s">
        <v>69</v>
      </c>
      <c r="V11" t="s">
        <v>70</v>
      </c>
      <c r="W11" t="s">
        <v>71</v>
      </c>
      <c r="X11" t="s">
        <v>72</v>
      </c>
      <c r="AB11" t="str">
        <f t="shared" si="1"/>
        <v>;;;;;;4A;6A;8A;10A;12A;4B;6B;8B;10B;12B;;;</v>
      </c>
      <c r="AC11" t="str">
        <f t="shared" si="0"/>
        <v>do $$ begin IF EXISTS (SELECT 1 FROM operace WHERE operace_id = 6) THEN update operace set kod = '', nazev = 'Vytvoření motivu   v.v.', popis = '', filtr = ';;;;;;4A;6A;8A;10A;12A;4B;6B;8B;10B;12B;;;', poradi = 9 where operace_id = 6; ELSE INSERT INTO OPERACE (operace_id, nazev, popis, filtr, kod, poradi) VALUES (6,'Vytvoření motivu   v.v.','',';;;;;;4A;6A;8A;10A;12A;4B;6B;8B;10B;12B;;;','',9); END IF; END $$;</v>
      </c>
    </row>
    <row r="12" spans="1:30" x14ac:dyDescent="0.25">
      <c r="A12" s="61"/>
      <c r="B12">
        <v>10</v>
      </c>
      <c r="D12">
        <v>7</v>
      </c>
      <c r="E12" s="2" t="s">
        <v>115</v>
      </c>
      <c r="F12" s="38"/>
      <c r="G12" s="38"/>
      <c r="O12" s="4" t="s">
        <v>63</v>
      </c>
      <c r="P12" t="s">
        <v>64</v>
      </c>
      <c r="Q12" t="s">
        <v>65</v>
      </c>
      <c r="R12" t="s">
        <v>66</v>
      </c>
      <c r="S12" t="s">
        <v>67</v>
      </c>
      <c r="T12" t="s">
        <v>68</v>
      </c>
      <c r="U12" t="s">
        <v>69</v>
      </c>
      <c r="V12" t="s">
        <v>70</v>
      </c>
      <c r="W12" t="s">
        <v>71</v>
      </c>
      <c r="X12" t="s">
        <v>72</v>
      </c>
      <c r="AB12" t="str">
        <f t="shared" si="1"/>
        <v>;;;;;;4A;6A;8A;10A;12A;4B;6B;8B;10B;12B;;;</v>
      </c>
      <c r="AC12" t="str">
        <f t="shared" si="0"/>
        <v>do $$ begin IF EXISTS (SELECT 1 FROM operace WHERE operace_id = 7) THEN update operace set kod = '', nazev = 'Kontrola a retuš motivu   v.v.', popis = '', filtr = ';;;;;;4A;6A;8A;10A;12A;4B;6B;8B;10B;12B;;;', poradi = 10 where operace_id = 7; ELSE INSERT INTO OPERACE (operace_id, nazev, popis, filtr, kod, poradi) VALUES (7,'Kontrola a retuš motivu   v.v.','',';;;;;;4A;6A;8A;10A;12A;4B;6B;8B;10B;12B;;;','',10); END IF; END $$;</v>
      </c>
    </row>
    <row r="13" spans="1:30" x14ac:dyDescent="0.25">
      <c r="A13" s="61"/>
      <c r="B13">
        <v>11</v>
      </c>
      <c r="D13">
        <v>8</v>
      </c>
      <c r="E13" s="1" t="s">
        <v>116</v>
      </c>
      <c r="F13" s="35"/>
      <c r="G13" s="35"/>
      <c r="O13" s="4" t="s">
        <v>63</v>
      </c>
      <c r="P13" t="s">
        <v>64</v>
      </c>
      <c r="Q13" t="s">
        <v>65</v>
      </c>
      <c r="R13" t="s">
        <v>66</v>
      </c>
      <c r="S13" t="s">
        <v>67</v>
      </c>
      <c r="T13" t="s">
        <v>68</v>
      </c>
      <c r="U13" t="s">
        <v>69</v>
      </c>
      <c r="V13" t="s">
        <v>70</v>
      </c>
      <c r="W13" t="s">
        <v>71</v>
      </c>
      <c r="X13" t="s">
        <v>72</v>
      </c>
      <c r="AB13" t="str">
        <f t="shared" si="1"/>
        <v>;;;;;;4A;6A;8A;10A;12A;4B;6B;8B;10B;12B;;;</v>
      </c>
      <c r="AC13" t="str">
        <f t="shared" si="0"/>
        <v>do $$ begin IF EXISTS (SELECT 1 FROM operace WHERE operace_id = 8) THEN update operace set kod = '', nazev = 'Leptání (kyselé) +stripování rezistu   v.v.', popis = '', filtr = ';;;;;;4A;6A;8A;10A;12A;4B;6B;8B;10B;12B;;;', poradi = 11 where operace_id = 8; ELSE INSERT INTO OPERACE (operace_id, nazev, popis, filtr, kod, poradi) VALUES (8,'Leptání (kyselé) +stripování rezistu   v.v.','',';;;;;;4A;6A;8A;10A;12A;4B;6B;8B;10B;12B;;;','',11); END IF; END $$;</v>
      </c>
    </row>
    <row r="14" spans="1:30" x14ac:dyDescent="0.25">
      <c r="A14" s="61"/>
      <c r="B14">
        <v>12</v>
      </c>
      <c r="D14">
        <v>9</v>
      </c>
      <c r="E14" s="9" t="s">
        <v>117</v>
      </c>
      <c r="F14" s="39"/>
      <c r="G14" s="39"/>
      <c r="O14" s="4"/>
      <c r="P14" t="s">
        <v>64</v>
      </c>
      <c r="Q14" t="s">
        <v>65</v>
      </c>
      <c r="R14" t="s">
        <v>66</v>
      </c>
      <c r="S14" t="s">
        <v>67</v>
      </c>
      <c r="T14" t="s">
        <v>68</v>
      </c>
      <c r="U14" t="s">
        <v>69</v>
      </c>
      <c r="V14" t="s">
        <v>70</v>
      </c>
      <c r="W14" t="s">
        <v>71</v>
      </c>
      <c r="X14" t="s">
        <v>72</v>
      </c>
      <c r="AB14" t="str">
        <f t="shared" si="1"/>
        <v>;;;;;;;6A;8A;10A;12A;4B;6B;8B;10B;12B;;;</v>
      </c>
      <c r="AC14" t="str">
        <f t="shared" si="0"/>
        <v>do $$ begin IF EXISTS (SELECT 1 FROM operace WHERE operace_id = 9) THEN update operace set kod = '', nazev = 'Děrování sesazovacích otvorů   v.v.', popis = '', filtr = ';;;;;;;6A;8A;10A;12A;4B;6B;8B;10B;12B;;;', poradi = 12 where operace_id = 9; ELSE INSERT INTO OPERACE (operace_id, nazev, popis, filtr, kod, poradi) VALUES (9,'Děrování sesazovacích otvorů   v.v.','',';;;;;;;6A;8A;10A;12A;4B;6B;8B;10B;12B;;;','',12); END IF; END $$;</v>
      </c>
    </row>
    <row r="15" spans="1:30" x14ac:dyDescent="0.25">
      <c r="A15" s="61"/>
      <c r="B15">
        <v>13</v>
      </c>
      <c r="D15">
        <v>10</v>
      </c>
      <c r="E15" s="1" t="s">
        <v>118</v>
      </c>
      <c r="F15" s="35"/>
      <c r="G15" s="35"/>
      <c r="L15" s="18"/>
      <c r="M15" s="18"/>
      <c r="N15" s="18"/>
      <c r="O15" s="18" t="s">
        <v>63</v>
      </c>
      <c r="P15" s="18" t="s">
        <v>64</v>
      </c>
      <c r="Q15" s="18" t="s">
        <v>65</v>
      </c>
      <c r="R15" s="18" t="s">
        <v>66</v>
      </c>
      <c r="S15" s="18" t="s">
        <v>67</v>
      </c>
      <c r="T15" s="18" t="s">
        <v>68</v>
      </c>
      <c r="U15" s="18" t="s">
        <v>69</v>
      </c>
      <c r="V15" s="18" t="s">
        <v>70</v>
      </c>
      <c r="W15" s="18" t="s">
        <v>71</v>
      </c>
      <c r="X15" s="18" t="s">
        <v>72</v>
      </c>
      <c r="Y15" s="18"/>
      <c r="Z15" s="18"/>
      <c r="AA15" s="18"/>
      <c r="AB15" t="str">
        <f t="shared" si="1"/>
        <v>;;;;;;4A;6A;8A;10A;12A;4B;6B;8B;10B;12B;;;</v>
      </c>
      <c r="AC15" t="str">
        <f t="shared" si="0"/>
        <v>do $$ begin IF EXISTS (SELECT 1 FROM operace WHERE operace_id = 10) THEN update operace set kod = '', nazev = 'Kontrola (nebo optický test)   v.v.', popis = '', filtr = ';;;;;;4A;6A;8A;10A;12A;4B;6B;8B;10B;12B;;;', poradi = 13 where operace_id = 10; ELSE INSERT INTO OPERACE (operace_id, nazev, popis, filtr, kod, poradi) VALUES (10,'Kontrola (nebo optický test)   v.v.','',';;;;;;4A;6A;8A;10A;12A;4B;6B;8B;10B;12B;;;','',13); END IF; END $$;</v>
      </c>
    </row>
    <row r="16" spans="1:30" x14ac:dyDescent="0.25">
      <c r="A16" s="61"/>
      <c r="B16">
        <v>14</v>
      </c>
      <c r="D16">
        <v>11</v>
      </c>
      <c r="E16" s="1" t="s">
        <v>119</v>
      </c>
      <c r="F16" s="35"/>
      <c r="G16" s="35"/>
      <c r="L16" s="18"/>
      <c r="M16" s="18"/>
      <c r="N16" s="18"/>
      <c r="O16" s="18" t="s">
        <v>63</v>
      </c>
      <c r="P16" s="18" t="s">
        <v>64</v>
      </c>
      <c r="Q16" s="18" t="s">
        <v>65</v>
      </c>
      <c r="R16" s="18" t="s">
        <v>66</v>
      </c>
      <c r="S16" s="18" t="s">
        <v>67</v>
      </c>
      <c r="T16" s="18" t="s">
        <v>68</v>
      </c>
      <c r="U16" s="18" t="s">
        <v>69</v>
      </c>
      <c r="V16" s="18" t="s">
        <v>70</v>
      </c>
      <c r="W16" s="18" t="s">
        <v>71</v>
      </c>
      <c r="X16" s="18" t="s">
        <v>72</v>
      </c>
      <c r="AB16" t="str">
        <f t="shared" si="1"/>
        <v>;;;;;;4A;6A;8A;10A;12A;4B;6B;8B;10B;12B;;;</v>
      </c>
      <c r="AC16" t="str">
        <f t="shared" si="0"/>
        <v>do $$ begin IF EXISTS (SELECT 1 FROM operace WHERE operace_id = 11) THEN update operace set kod = '', nazev = 'Černění   v.v.', popis = '', filtr = ';;;;;;4A;6A;8A;10A;12A;4B;6B;8B;10B;12B;;;', poradi = 14 where operace_id = 11; ELSE INSERT INTO OPERACE (operace_id, nazev, popis, filtr, kod, poradi) VALUES (11,'Černění   v.v.','',';;;;;;4A;6A;8A;10A;12A;4B;6B;8B;10B;12B;;;','',14); END IF; END $$;</v>
      </c>
    </row>
    <row r="17" spans="1:29" x14ac:dyDescent="0.25">
      <c r="A17" s="61"/>
      <c r="B17">
        <v>15</v>
      </c>
      <c r="D17">
        <v>12</v>
      </c>
      <c r="E17" s="1" t="s">
        <v>120</v>
      </c>
      <c r="F17" s="35"/>
      <c r="G17" s="35"/>
      <c r="L17" s="18"/>
      <c r="M17" s="18"/>
      <c r="N17" s="18"/>
      <c r="O17" s="18"/>
      <c r="P17" s="18" t="s">
        <v>64</v>
      </c>
      <c r="Q17" s="18" t="s">
        <v>65</v>
      </c>
      <c r="R17" s="18" t="s">
        <v>66</v>
      </c>
      <c r="S17" s="18" t="s">
        <v>67</v>
      </c>
      <c r="T17" s="18" t="s">
        <v>68</v>
      </c>
      <c r="U17" s="18" t="s">
        <v>69</v>
      </c>
      <c r="V17" s="18" t="s">
        <v>70</v>
      </c>
      <c r="W17" s="18" t="s">
        <v>71</v>
      </c>
      <c r="X17" s="18" t="s">
        <v>72</v>
      </c>
      <c r="AB17" t="str">
        <f t="shared" si="1"/>
        <v>;;;;;;;6A;8A;10A;12A;4B;6B;8B;10B;12B;;;</v>
      </c>
      <c r="AC17" t="str">
        <f t="shared" si="0"/>
        <v>do $$ begin IF EXISTS (SELECT 1 FROM operace WHERE operace_id = 12) THEN update operace set kod = '', nazev = 'Svařování   v.v.', popis = '', filtr = ';;;;;;;6A;8A;10A;12A;4B;6B;8B;10B;12B;;;', poradi = 15 where operace_id = 12; ELSE INSERT INTO OPERACE (operace_id, nazev, popis, filtr, kod, poradi) VALUES (12,'Svařování   v.v.','',';;;;;;;6A;8A;10A;12A;4B;6B;8B;10B;12B;;;','',15); END IF; END $$;</v>
      </c>
    </row>
    <row r="18" spans="1:29" x14ac:dyDescent="0.25">
      <c r="A18" s="61"/>
      <c r="B18">
        <v>16</v>
      </c>
      <c r="D18">
        <v>13</v>
      </c>
      <c r="E18" s="1" t="s">
        <v>9</v>
      </c>
      <c r="F18" s="35"/>
      <c r="G18" s="35"/>
      <c r="L18" s="18"/>
      <c r="M18" s="18"/>
      <c r="N18" s="18"/>
      <c r="O18" s="18" t="s">
        <v>63</v>
      </c>
      <c r="P18" s="18" t="s">
        <v>64</v>
      </c>
      <c r="Q18" s="18" t="s">
        <v>65</v>
      </c>
      <c r="R18" s="18" t="s">
        <v>66</v>
      </c>
      <c r="S18" s="18" t="s">
        <v>67</v>
      </c>
      <c r="T18" s="18" t="s">
        <v>68</v>
      </c>
      <c r="U18" s="18" t="s">
        <v>69</v>
      </c>
      <c r="V18" s="18" t="s">
        <v>70</v>
      </c>
      <c r="W18" s="18" t="s">
        <v>71</v>
      </c>
      <c r="X18" s="18" t="s">
        <v>72</v>
      </c>
      <c r="AB18" t="str">
        <f t="shared" si="1"/>
        <v>;;;;;;4A;6A;8A;10A;12A;4B;6B;8B;10B;12B;;;</v>
      </c>
      <c r="AC18" t="str">
        <f t="shared" si="0"/>
        <v>do $$ begin IF EXISTS (SELECT 1 FROM operace WHERE operace_id = 13) THEN update operace set kod = '', nazev = 'Laminace', popis = '', filtr = ';;;;;;4A;6A;8A;10A;12A;4B;6B;8B;10B;12B;;;', poradi = 16 where operace_id = 13; ELSE INSERT INTO OPERACE (operace_id, nazev, popis, filtr, kod, poradi) VALUES (13,'Laminace','',';;;;;;4A;6A;8A;10A;12A;4B;6B;8B;10B;12B;;;','',16); END IF; END $$;</v>
      </c>
    </row>
    <row r="19" spans="1:29" x14ac:dyDescent="0.25">
      <c r="A19" s="61"/>
      <c r="B19">
        <v>17</v>
      </c>
      <c r="D19">
        <v>902</v>
      </c>
      <c r="E19" s="12" t="s">
        <v>10</v>
      </c>
      <c r="F19" s="40"/>
      <c r="G19" s="40"/>
      <c r="H19" s="22"/>
      <c r="I19" s="22"/>
      <c r="J19" s="22"/>
      <c r="K19" s="22"/>
      <c r="L19" s="24"/>
      <c r="M19" s="24"/>
      <c r="N19" s="24"/>
      <c r="O19" s="24"/>
      <c r="P19" s="24" t="s">
        <v>64</v>
      </c>
      <c r="Q19" s="18" t="s">
        <v>65</v>
      </c>
      <c r="R19" s="18" t="s">
        <v>66</v>
      </c>
      <c r="S19" s="18" t="s">
        <v>67</v>
      </c>
      <c r="T19" s="18" t="s">
        <v>68</v>
      </c>
      <c r="U19" s="18" t="s">
        <v>69</v>
      </c>
      <c r="V19" s="18" t="s">
        <v>70</v>
      </c>
      <c r="W19" s="18" t="s">
        <v>71</v>
      </c>
      <c r="X19" s="18" t="s">
        <v>72</v>
      </c>
      <c r="AB19" t="str">
        <f t="shared" si="1"/>
        <v>;;;;;;;6A;8A;10A;12A;4B;6B;8B;10B;12B;;;</v>
      </c>
      <c r="AC19" t="str">
        <f t="shared" si="0"/>
        <v>do $$ begin IF EXISTS (SELECT 1 FROM operace WHERE operace_id = 902) THEN update operace set kod = '', nazev = 'Ostřih po laminaci', popis = '', filtr = ';;;;;;;6A;8A;10A;12A;4B;6B;8B;10B;12B;;;', poradi = 17 where operace_id = 902; ELSE INSERT INTO OPERACE (operace_id, nazev, popis, filtr, kod, poradi) VALUES (902,'Ostřih po laminaci','',';;;;;;;6A;8A;10A;12A;4B;6B;8B;10B;12B;;;','',17); END IF; END $$;</v>
      </c>
    </row>
    <row r="20" spans="1:29" x14ac:dyDescent="0.25">
      <c r="A20" s="61"/>
      <c r="B20">
        <v>18</v>
      </c>
      <c r="D20">
        <v>14</v>
      </c>
      <c r="E20" s="9" t="s">
        <v>8</v>
      </c>
      <c r="F20" s="39"/>
      <c r="G20" s="39"/>
      <c r="L20" s="18"/>
      <c r="M20" s="18"/>
      <c r="N20" s="18"/>
      <c r="O20" s="19" t="s">
        <v>63</v>
      </c>
      <c r="P20" s="19" t="s">
        <v>64</v>
      </c>
      <c r="Q20" s="19" t="s">
        <v>65</v>
      </c>
      <c r="R20" s="19" t="s">
        <v>66</v>
      </c>
      <c r="S20" s="19" t="s">
        <v>67</v>
      </c>
      <c r="T20" s="19" t="s">
        <v>68</v>
      </c>
      <c r="U20" s="19" t="s">
        <v>69</v>
      </c>
      <c r="V20" s="19" t="s">
        <v>70</v>
      </c>
      <c r="W20" s="19" t="s">
        <v>71</v>
      </c>
      <c r="X20" s="19" t="s">
        <v>72</v>
      </c>
      <c r="AB20" t="str">
        <f t="shared" si="1"/>
        <v>;;;;;;4A;6A;8A;10A;12A;4B;6B;8B;10B;12B;;;</v>
      </c>
      <c r="AC20" t="str">
        <f t="shared" si="0"/>
        <v>do $$ begin IF EXISTS (SELECT 1 FROM operace WHERE operace_id = 14) THEN update operace set kod = '', nazev = 'Frézování reg.značek Inspecta', popis = '', filtr = ';;;;;;4A;6A;8A;10A;12A;4B;6B;8B;10B;12B;;;', poradi = 18 where operace_id = 14; ELSE INSERT INTO OPERACE (operace_id, nazev, popis, filtr, kod, poradi) VALUES (14,'Frézování reg.značek Inspecta','',';;;;;;4A;6A;8A;10A;12A;4B;6B;8B;10B;12B;;;','',18); END IF; END $$;</v>
      </c>
    </row>
    <row r="21" spans="1:29" x14ac:dyDescent="0.25">
      <c r="A21" s="61"/>
      <c r="B21">
        <v>19</v>
      </c>
      <c r="D21">
        <v>15</v>
      </c>
      <c r="E21" s="1" t="s">
        <v>10</v>
      </c>
      <c r="F21" s="35"/>
      <c r="G21" s="35"/>
      <c r="L21" s="18"/>
      <c r="M21" s="18"/>
      <c r="N21" s="18"/>
      <c r="O21" s="19" t="s">
        <v>63</v>
      </c>
      <c r="P21" s="19"/>
      <c r="Q21" s="19"/>
      <c r="R21" s="19"/>
      <c r="S21" s="19"/>
      <c r="T21" s="19"/>
      <c r="U21" s="19"/>
      <c r="V21" s="19"/>
      <c r="W21" s="19"/>
      <c r="X21" s="19"/>
      <c r="AB21" t="str">
        <f t="shared" si="1"/>
        <v>;;;;;;4A;;;;;;;;;;;;</v>
      </c>
      <c r="AC21" t="str">
        <f t="shared" si="0"/>
        <v>do $$ begin IF EXISTS (SELECT 1 FROM operace WHERE operace_id = 15) THEN update operace set kod = '', nazev = 'Ostřih po laminaci', popis = '', filtr = ';;;;;;4A;;;;;;;;;;;;', poradi = 19 where operace_id = 15; ELSE INSERT INTO OPERACE (operace_id, nazev, popis, filtr, kod, poradi) VALUES (15,'Ostřih po laminaci','',';;;;;;4A;;;;;;;;;;;;','',19); END IF; END $$;</v>
      </c>
    </row>
    <row r="22" spans="1:29" x14ac:dyDescent="0.25">
      <c r="A22" s="61"/>
      <c r="B22">
        <v>20</v>
      </c>
      <c r="D22">
        <v>903</v>
      </c>
      <c r="E22" s="12" t="s">
        <v>1</v>
      </c>
      <c r="F22" s="40"/>
      <c r="G22" s="40"/>
      <c r="H22" s="22" t="s">
        <v>122</v>
      </c>
      <c r="I22" s="22"/>
      <c r="J22" s="22"/>
      <c r="K22" s="22"/>
      <c r="L22" s="24"/>
      <c r="M22" s="24"/>
      <c r="N22" s="24"/>
      <c r="O22" s="25" t="s">
        <v>63</v>
      </c>
      <c r="P22" s="19"/>
      <c r="Q22" s="19"/>
      <c r="R22" s="19"/>
      <c r="S22" s="19"/>
      <c r="T22" s="19"/>
      <c r="U22" s="19"/>
      <c r="V22" s="19"/>
      <c r="W22" s="19"/>
      <c r="X22" s="19"/>
      <c r="AB22" t="str">
        <f t="shared" si="1"/>
        <v>;;;;;;4A;;;;;;;;;;;;</v>
      </c>
      <c r="AC22" t="str">
        <f t="shared" si="0"/>
        <v>do $$ begin IF EXISTS (SELECT 1 FROM operace WHERE operace_id = 903) THEN update operace set kod = '', nazev = 'Fazetovat hrany pro zlacení', popis = 'imersní zlacení,  ≤ 2,0 mm', filtr = ';;;;;;4A;;;;;;;;;;;;', poradi = 20 where operace_id = 903; ELSE INSERT INTO OPERACE (operace_id, nazev, popis, filtr, kod, poradi) VALUES (903,'Fazetovat hrany pro zlacení','imersní zlacení,  ≤ 2,0 mm',';;;;;;4A;;;;;;;;;;;;','',20); END IF; END $$;</v>
      </c>
    </row>
    <row r="23" spans="1:29" x14ac:dyDescent="0.25">
      <c r="A23" s="61"/>
      <c r="B23">
        <v>21</v>
      </c>
      <c r="D23">
        <v>16</v>
      </c>
      <c r="E23" s="2" t="s">
        <v>3</v>
      </c>
      <c r="F23" s="38"/>
      <c r="G23" s="38"/>
      <c r="L23" s="18" t="s">
        <v>55</v>
      </c>
      <c r="M23" s="18" t="s">
        <v>56</v>
      </c>
      <c r="N23" s="18" t="s">
        <v>62</v>
      </c>
      <c r="O23" s="18" t="s">
        <v>63</v>
      </c>
      <c r="P23" s="18" t="s">
        <v>64</v>
      </c>
      <c r="Q23" s="18" t="s">
        <v>65</v>
      </c>
      <c r="R23" s="18" t="s">
        <v>66</v>
      </c>
      <c r="S23" s="18" t="s">
        <v>67</v>
      </c>
      <c r="T23" s="18" t="s">
        <v>68</v>
      </c>
      <c r="U23" s="18" t="s">
        <v>69</v>
      </c>
      <c r="V23" s="18" t="s">
        <v>70</v>
      </c>
      <c r="W23" s="18" t="s">
        <v>71</v>
      </c>
      <c r="X23" s="18" t="s">
        <v>72</v>
      </c>
      <c r="AB23" t="str">
        <f t="shared" si="1"/>
        <v>;;;J.;O.;N.;4A;6A;8A;10A;12A;4B;6B;8B;10B;12B;;;</v>
      </c>
      <c r="AC23" t="str">
        <f t="shared" si="0"/>
        <v>do $$ begin IF EXISTS (SELECT 1 FROM operace WHERE operace_id = 16) THEN update operace set kod = '', nazev = 'Vrtání', popis = '', filtr = ';;;J.;O.;N.;4A;6A;8A;10A;12A;4B;6B;8B;10B;12B;;;', poradi = 21 where operace_id = 16; ELSE INSERT INTO OPERACE (operace_id, nazev, popis, filtr, kod, poradi) VALUES (16,'Vrtání','',';;;J.;O.;N.;4A;6A;8A;10A;12A;4B;6B;8B;10B;12B;;;','',21); END IF; END $$;</v>
      </c>
    </row>
    <row r="24" spans="1:29" x14ac:dyDescent="0.25">
      <c r="A24" s="61"/>
      <c r="B24">
        <v>22</v>
      </c>
      <c r="D24">
        <v>17</v>
      </c>
      <c r="E24" s="10" t="s">
        <v>3</v>
      </c>
      <c r="F24" s="36"/>
      <c r="G24" s="36"/>
      <c r="H24" t="s">
        <v>85</v>
      </c>
      <c r="L24" s="18" t="s">
        <v>55</v>
      </c>
      <c r="M24" s="18" t="s">
        <v>56</v>
      </c>
      <c r="N24" s="18" t="s">
        <v>62</v>
      </c>
      <c r="O24" s="18" t="s">
        <v>63</v>
      </c>
      <c r="P24" s="18" t="s">
        <v>64</v>
      </c>
      <c r="Q24" s="18" t="s">
        <v>65</v>
      </c>
      <c r="R24" s="18" t="s">
        <v>66</v>
      </c>
      <c r="S24" s="18" t="s">
        <v>67</v>
      </c>
      <c r="T24" s="18" t="s">
        <v>68</v>
      </c>
      <c r="U24" s="18" t="s">
        <v>69</v>
      </c>
      <c r="V24" s="18" t="s">
        <v>70</v>
      </c>
      <c r="W24" s="18" t="s">
        <v>71</v>
      </c>
      <c r="X24" s="18" t="s">
        <v>72</v>
      </c>
      <c r="AB24" t="str">
        <f t="shared" si="1"/>
        <v>;;;J.;O.;N.;4A;6A;8A;10A;12A;4B;6B;8B;10B;12B;;;</v>
      </c>
      <c r="AC24" t="str">
        <f t="shared" si="0"/>
        <v>do $$ begin IF EXISTS (SELECT 1 FROM operace WHERE operace_id = 17) THEN update operace set kod = '', nazev = 'Vrtání', popis = 'Arlon, Roger, Duroid, Diclad', filtr = ';;;J.;O.;N.;4A;6A;8A;10A;12A;4B;6B;8B;10B;12B;;;', poradi = 22 where operace_id = 17; ELSE INSERT INTO OPERACE (operace_id, nazev, popis, filtr, kod, poradi) VALUES (17,'Vrtání','Arlon, Roger, Duroid, Diclad',';;;J.;O.;N.;4A;6A;8A;10A;12A;4B;6B;8B;10B;12B;;;','',22); END IF; END $$;</v>
      </c>
    </row>
    <row r="25" spans="1:29" x14ac:dyDescent="0.25">
      <c r="A25" s="61"/>
      <c r="B25">
        <v>23</v>
      </c>
      <c r="D25">
        <v>907</v>
      </c>
      <c r="E25" s="10" t="s">
        <v>137</v>
      </c>
      <c r="F25" s="36"/>
      <c r="G25" s="36"/>
      <c r="H25" t="s">
        <v>138</v>
      </c>
      <c r="L25" s="18" t="s">
        <v>55</v>
      </c>
      <c r="M25" s="18" t="s">
        <v>56</v>
      </c>
      <c r="N25" s="18" t="s">
        <v>62</v>
      </c>
      <c r="O25" s="18" t="s">
        <v>63</v>
      </c>
      <c r="P25" s="18" t="s">
        <v>64</v>
      </c>
      <c r="Q25" s="18" t="s">
        <v>65</v>
      </c>
      <c r="R25" s="18" t="s">
        <v>66</v>
      </c>
      <c r="S25" s="18" t="s">
        <v>67</v>
      </c>
      <c r="T25" s="18" t="s">
        <v>68</v>
      </c>
      <c r="U25" s="18" t="s">
        <v>69</v>
      </c>
      <c r="V25" s="18" t="s">
        <v>70</v>
      </c>
      <c r="W25" s="18" t="s">
        <v>71</v>
      </c>
      <c r="X25" s="18" t="s">
        <v>72</v>
      </c>
      <c r="AB25" t="str">
        <f t="shared" si="1"/>
        <v>;;;J.;O.;N.;4A;6A;8A;10A;12A;4B;6B;8B;10B;12B;;;</v>
      </c>
      <c r="AC25" t="str">
        <f t="shared" si="0"/>
        <v>do $$ begin IF EXISTS (SELECT 1 FROM operace WHERE operace_id = 907) THEN update operace set kod = '', nazev = 'Vrtání s parametry IS620', popis = 'IS620', filtr = ';;;J.;O.;N.;4A;6A;8A;10A;12A;4B;6B;8B;10B;12B;;;', poradi = 23 where operace_id = 907; ELSE INSERT INTO OPERACE (operace_id, nazev, popis, filtr, kod, poradi) VALUES (907,'Vrtání s parametry IS620','IS620',';;;J.;O.;N.;4A;6A;8A;10A;12A;4B;6B;8B;10B;12B;;;','',23); END IF; END $$;</v>
      </c>
    </row>
    <row r="26" spans="1:29" x14ac:dyDescent="0.25">
      <c r="A26" s="61"/>
      <c r="B26">
        <v>24</v>
      </c>
      <c r="D26">
        <v>18</v>
      </c>
      <c r="E26" s="10" t="s">
        <v>83</v>
      </c>
      <c r="F26" s="36"/>
      <c r="G26" s="36"/>
      <c r="H26" t="s">
        <v>86</v>
      </c>
      <c r="L26" s="18"/>
      <c r="M26" s="18" t="s">
        <v>56</v>
      </c>
      <c r="N26" s="18"/>
      <c r="O26" s="18" t="s">
        <v>63</v>
      </c>
      <c r="P26" s="18" t="s">
        <v>64</v>
      </c>
      <c r="Q26" s="18" t="s">
        <v>65</v>
      </c>
      <c r="R26" s="18" t="s">
        <v>66</v>
      </c>
      <c r="S26" s="18" t="s">
        <v>67</v>
      </c>
      <c r="T26" s="18" t="s">
        <v>68</v>
      </c>
      <c r="U26" s="18" t="s">
        <v>69</v>
      </c>
      <c r="V26" s="18" t="s">
        <v>70</v>
      </c>
      <c r="W26" s="18" t="s">
        <v>71</v>
      </c>
      <c r="X26" s="18" t="s">
        <v>72</v>
      </c>
      <c r="AB26" t="str">
        <f t="shared" si="1"/>
        <v>;;;;O.;;4A;6A;8A;10A;12A;4B;6B;8B;10B;12B;;;</v>
      </c>
      <c r="AC26" t="str">
        <f t="shared" si="0"/>
        <v>do $$ begin IF EXISTS (SELECT 1 FROM operace WHERE operace_id = 18) THEN update operace set kod = '', nazev = 'Vrtání drp. - zaplnované otvory', popis = 'zaplnované otvory', filtr = ';;;;O.;;4A;6A;8A;10A;12A;4B;6B;8B;10B;12B;;;', poradi = 24 where operace_id = 18; ELSE INSERT INTO OPERACE (operace_id, nazev, popis, filtr, kod, poradi) VALUES (18,'Vrtání drp. - zaplnované otvory','zaplnované otvory',';;;;O.;;4A;6A;8A;10A;12A;4B;6B;8B;10B;12B;;;','',24); END IF; END $$;</v>
      </c>
    </row>
    <row r="27" spans="1:29" x14ac:dyDescent="0.25">
      <c r="A27" s="61"/>
      <c r="B27">
        <v>25</v>
      </c>
      <c r="D27">
        <v>19</v>
      </c>
      <c r="E27" s="1" t="s">
        <v>11</v>
      </c>
      <c r="F27" s="35"/>
      <c r="G27" s="35"/>
      <c r="H27" t="s">
        <v>87</v>
      </c>
      <c r="L27" s="18"/>
      <c r="M27" s="18"/>
      <c r="N27" s="18"/>
      <c r="O27" s="18" t="s">
        <v>63</v>
      </c>
      <c r="P27" s="18" t="s">
        <v>64</v>
      </c>
      <c r="Q27" s="18" t="s">
        <v>65</v>
      </c>
      <c r="R27" s="18" t="s">
        <v>66</v>
      </c>
      <c r="S27" s="18" t="s">
        <v>67</v>
      </c>
      <c r="T27" s="18" t="s">
        <v>68</v>
      </c>
      <c r="U27" s="18" t="s">
        <v>69</v>
      </c>
      <c r="V27" s="18" t="s">
        <v>70</v>
      </c>
      <c r="W27" s="18" t="s">
        <v>71</v>
      </c>
      <c r="X27" s="18" t="s">
        <v>72</v>
      </c>
      <c r="AB27" t="str">
        <f t="shared" si="1"/>
        <v>;;;;;;4A;6A;8A;10A;12A;4B;6B;8B;10B;12B;;;</v>
      </c>
      <c r="AC27" t="str">
        <f t="shared" si="0"/>
        <v>do $$ begin IF EXISTS (SELECT 1 FROM operace WHERE operace_id = 19) THEN update operace set kod = '', nazev = 'Vrtani se slepými otvory - strana A', popis = 'slepé otvory ze str. A', filtr = ';;;;;;4A;6A;8A;10A;12A;4B;6B;8B;10B;12B;;;', poradi = 25 where operace_id = 19; ELSE INSERT INTO OPERACE (operace_id, nazev, popis, filtr, kod, poradi) VALUES (19,'Vrtani se slepými otvory - strana A','slepé otvory ze str. A',';;;;;;4A;6A;8A;10A;12A;4B;6B;8B;10B;12B;;;','',25); END IF; END $$;</v>
      </c>
    </row>
    <row r="28" spans="1:29" x14ac:dyDescent="0.25">
      <c r="A28" s="61"/>
      <c r="B28">
        <v>26</v>
      </c>
      <c r="D28">
        <v>20</v>
      </c>
      <c r="E28" s="1" t="s">
        <v>12</v>
      </c>
      <c r="F28" s="35"/>
      <c r="G28" s="35"/>
      <c r="H28" t="s">
        <v>88</v>
      </c>
      <c r="L28" s="18"/>
      <c r="M28" s="18"/>
      <c r="N28" s="18"/>
      <c r="O28" s="18" t="s">
        <v>63</v>
      </c>
      <c r="P28" s="18" t="s">
        <v>64</v>
      </c>
      <c r="Q28" s="18" t="s">
        <v>65</v>
      </c>
      <c r="R28" s="18" t="s">
        <v>66</v>
      </c>
      <c r="S28" s="18" t="s">
        <v>67</v>
      </c>
      <c r="T28" s="18" t="s">
        <v>68</v>
      </c>
      <c r="U28" s="18" t="s">
        <v>69</v>
      </c>
      <c r="V28" s="18" t="s">
        <v>70</v>
      </c>
      <c r="W28" s="18" t="s">
        <v>71</v>
      </c>
      <c r="X28" s="18" t="s">
        <v>72</v>
      </c>
      <c r="AB28" t="str">
        <f t="shared" si="1"/>
        <v>;;;;;;4A;6A;8A;10A;12A;4B;6B;8B;10B;12B;;;</v>
      </c>
      <c r="AC28" t="str">
        <f t="shared" si="0"/>
        <v>do $$ begin IF EXISTS (SELECT 1 FROM operace WHERE operace_id = 20) THEN update operace set kod = '', nazev = 'Vrtani se slepými otvory - strana Z', popis = 'slepé otvory ze str. Z', filtr = ';;;;;;4A;6A;8A;10A;12A;4B;6B;8B;10B;12B;;;', poradi = 26 where operace_id = 20; ELSE INSERT INTO OPERACE (operace_id, nazev, popis, filtr, kod, poradi) VALUES (20,'Vrtani se slepými otvory - strana Z','slepé otvory ze str. Z',';;;;;;4A;6A;8A;10A;12A;4B;6B;8B;10B;12B;;;','',26); END IF; END $$;</v>
      </c>
    </row>
    <row r="29" spans="1:29" x14ac:dyDescent="0.25">
      <c r="A29" s="61"/>
      <c r="B29">
        <v>27</v>
      </c>
      <c r="D29">
        <v>21</v>
      </c>
      <c r="E29" s="1" t="s">
        <v>13</v>
      </c>
      <c r="F29" s="35"/>
      <c r="G29" s="35"/>
      <c r="H29" t="s">
        <v>89</v>
      </c>
      <c r="O29" s="18" t="s">
        <v>63</v>
      </c>
      <c r="P29" s="18" t="s">
        <v>64</v>
      </c>
      <c r="Q29" s="18" t="s">
        <v>65</v>
      </c>
      <c r="R29" s="18" t="s">
        <v>66</v>
      </c>
      <c r="S29" s="18" t="s">
        <v>67</v>
      </c>
      <c r="T29" s="18" t="s">
        <v>68</v>
      </c>
      <c r="U29" s="18" t="s">
        <v>69</v>
      </c>
      <c r="V29" s="18" t="s">
        <v>70</v>
      </c>
      <c r="W29" s="18" t="s">
        <v>71</v>
      </c>
      <c r="X29" s="18" t="s">
        <v>72</v>
      </c>
      <c r="AB29" t="str">
        <f t="shared" si="1"/>
        <v>;;;;;;4A;6A;8A;10A;12A;4B;6B;8B;10B;12B;;;</v>
      </c>
      <c r="AC29" t="str">
        <f t="shared" si="0"/>
        <v>do $$ begin IF EXISTS (SELECT 1 FROM operace WHERE operace_id = 21) THEN update operace set kod = '', nazev = 'Vrtani se slepými otvory oboustranne', popis = 'slepé otvory oboustranně', filtr = ';;;;;;4A;6A;8A;10A;12A;4B;6B;8B;10B;12B;;;', poradi = 27 where operace_id = 21; ELSE INSERT INTO OPERACE (operace_id, nazev, popis, filtr, kod, poradi) VALUES (21,'Vrtani se slepými otvory oboustranne','slepé otvory oboustranně',';;;;;;4A;6A;8A;10A;12A;4B;6B;8B;10B;12B;;;','',27); END IF; END $$;</v>
      </c>
    </row>
    <row r="30" spans="1:29" x14ac:dyDescent="0.25">
      <c r="A30" s="61"/>
      <c r="B30">
        <v>28</v>
      </c>
      <c r="D30">
        <v>22</v>
      </c>
      <c r="E30" s="9" t="s">
        <v>14</v>
      </c>
      <c r="F30" s="39"/>
      <c r="G30" s="39"/>
      <c r="H30" t="s">
        <v>90</v>
      </c>
      <c r="K30" s="4"/>
      <c r="L30" s="18" t="s">
        <v>55</v>
      </c>
      <c r="M30" s="18" t="s">
        <v>56</v>
      </c>
      <c r="N30" s="18" t="s">
        <v>62</v>
      </c>
      <c r="O30" s="18" t="s">
        <v>63</v>
      </c>
      <c r="P30" s="18" t="s">
        <v>64</v>
      </c>
      <c r="Q30" s="18" t="s">
        <v>65</v>
      </c>
      <c r="R30" s="18" t="s">
        <v>66</v>
      </c>
      <c r="S30" s="18" t="s">
        <v>67</v>
      </c>
      <c r="T30" s="18" t="s">
        <v>68</v>
      </c>
      <c r="U30" s="18" t="s">
        <v>69</v>
      </c>
      <c r="V30" s="18" t="s">
        <v>70</v>
      </c>
      <c r="W30" s="18" t="s">
        <v>71</v>
      </c>
      <c r="X30" s="18" t="s">
        <v>72</v>
      </c>
      <c r="AB30" t="str">
        <f t="shared" si="1"/>
        <v>;;;J.;O.;N.;4A;6A;8A;10A;12A;4B;6B;8B;10B;12B;;;</v>
      </c>
      <c r="AC30" t="str">
        <f t="shared" si="0"/>
        <v>do $$ begin IF EXISTS (SELECT 1 FROM operace WHERE operace_id = 22) THEN update operace set kod = '', nazev = 'Profuk otvorů tlakovým vzduchem', popis = ' pro otvory ≤ 0,25 mm', filtr = ';;;J.;O.;N.;4A;6A;8A;10A;12A;4B;6B;8B;10B;12B;;;', poradi = 28 where operace_id = 22; ELSE INSERT INTO OPERACE (operace_id, nazev, popis, filtr, kod, poradi) VALUES (22,'Profuk otvorů tlakovým vzduchem',' pro otvory ≤ 0,25 mm',';;;J.;O.;N.;4A;6A;8A;10A;12A;4B;6B;8B;10B;12B;;;','',28); END IF; END $$;</v>
      </c>
    </row>
    <row r="31" spans="1:29" ht="15.75" thickBot="1" x14ac:dyDescent="0.3">
      <c r="A31" s="61"/>
      <c r="B31">
        <v>29</v>
      </c>
      <c r="D31">
        <v>904</v>
      </c>
      <c r="E31" s="12" t="s">
        <v>3</v>
      </c>
      <c r="F31" s="40"/>
      <c r="G31" s="40"/>
      <c r="H31" s="22" t="s">
        <v>145</v>
      </c>
      <c r="I31" s="22"/>
      <c r="J31" s="22"/>
      <c r="K31" s="23" t="s">
        <v>57</v>
      </c>
      <c r="L31" s="24" t="s">
        <v>55</v>
      </c>
      <c r="M31" s="24" t="s">
        <v>56</v>
      </c>
      <c r="N31" s="24" t="s">
        <v>62</v>
      </c>
      <c r="O31" s="24" t="s">
        <v>63</v>
      </c>
      <c r="P31" s="18" t="s">
        <v>64</v>
      </c>
      <c r="Q31" s="18" t="s">
        <v>65</v>
      </c>
      <c r="R31" s="18" t="s">
        <v>66</v>
      </c>
      <c r="S31" s="18" t="s">
        <v>67</v>
      </c>
      <c r="T31" s="18" t="s">
        <v>68</v>
      </c>
      <c r="U31" s="18" t="s">
        <v>69</v>
      </c>
      <c r="V31" s="18" t="s">
        <v>70</v>
      </c>
      <c r="W31" s="18" t="s">
        <v>71</v>
      </c>
      <c r="X31" s="18" t="s">
        <v>72</v>
      </c>
      <c r="AB31" t="str">
        <f t="shared" si="1"/>
        <v>;;J0;J.;O.;N.;4A;6A;8A;10A;12A;4B;6B;8B;10B;12B;;;</v>
      </c>
      <c r="AC31" t="str">
        <f t="shared" si="0"/>
        <v>do $$ begin IF EXISTS (SELECT 1 FROM operace WHERE operace_id = 904) THEN update operace set kod = '', nazev = 'Vrtání', popis = 'podm. Prokovené hloubkové frézování, ! Zaplnovane otvory', filtr = ';;J0;J.;O.;N.;4A;6A;8A;10A;12A;4B;6B;8B;10B;12B;;;', poradi = 29 where operace_id = 904; ELSE INSERT INTO OPERACE (operace_id, nazev, popis, filtr, kod, poradi) VALUES (904,'Vrtání','podm. Prokovené hloubkové frézování, ! Zaplnovane otvory',';;J0;J.;O.;N.;4A;6A;8A;10A;12A;4B;6B;8B;10B;12B;;;','',29); END IF; END $$;</v>
      </c>
    </row>
    <row r="32" spans="1:29" ht="15.75" thickBot="1" x14ac:dyDescent="0.3">
      <c r="A32" s="61"/>
      <c r="B32">
        <v>30</v>
      </c>
      <c r="D32" s="28">
        <v>2106</v>
      </c>
      <c r="E32" s="50" t="s">
        <v>190</v>
      </c>
      <c r="F32" s="40"/>
      <c r="G32" s="40"/>
      <c r="H32" s="22"/>
      <c r="I32" s="22"/>
      <c r="J32" s="22"/>
      <c r="K32" s="23" t="s">
        <v>57</v>
      </c>
      <c r="L32" s="24" t="s">
        <v>55</v>
      </c>
      <c r="M32" s="24" t="s">
        <v>56</v>
      </c>
      <c r="N32" s="24" t="s">
        <v>62</v>
      </c>
      <c r="O32" s="24" t="s">
        <v>63</v>
      </c>
      <c r="P32" s="18" t="s">
        <v>64</v>
      </c>
      <c r="Q32" s="18" t="s">
        <v>65</v>
      </c>
      <c r="R32" s="18" t="s">
        <v>66</v>
      </c>
      <c r="S32" s="18" t="s">
        <v>67</v>
      </c>
      <c r="T32" s="18" t="s">
        <v>68</v>
      </c>
      <c r="U32" s="18" t="s">
        <v>69</v>
      </c>
      <c r="V32" s="18" t="s">
        <v>70</v>
      </c>
      <c r="W32" s="18" t="s">
        <v>71</v>
      </c>
      <c r="X32" s="18" t="s">
        <v>72</v>
      </c>
      <c r="AB32" t="str">
        <f t="shared" si="1"/>
        <v>;;J0;J.;O.;N.;4A;6A;8A;10A;12A;4B;6B;8B;10B;12B;;;</v>
      </c>
      <c r="AC32" t="str">
        <f t="shared" si="0"/>
        <v>do $$ begin IF EXISTS (SELECT 1 FROM operace WHERE operace_id = 2106) THEN update operace set kod = '', nazev = 'Vrtání prokov. zahloub. otvorů', popis = '', filtr = ';;J0;J.;O.;N.;4A;6A;8A;10A;12A;4B;6B;8B;10B;12B;;;', poradi = 30 where operace_id = 2106; ELSE INSERT INTO OPERACE (operace_id, nazev, popis, filtr, kod, poradi) VALUES (2106,'Vrtání prokov. zahloub. otvorů','',';;J0;J.;O.;N.;4A;6A;8A;10A;12A;4B;6B;8B;10B;12B;;;','',30); END IF; END $$;</v>
      </c>
    </row>
    <row r="33" spans="1:29" ht="15.75" thickBot="1" x14ac:dyDescent="0.3">
      <c r="A33" s="61"/>
      <c r="B33">
        <v>31</v>
      </c>
      <c r="D33" s="28">
        <v>2107</v>
      </c>
      <c r="E33" s="50" t="s">
        <v>191</v>
      </c>
      <c r="F33" s="40"/>
      <c r="G33" s="40"/>
      <c r="H33" s="22"/>
      <c r="I33" s="22"/>
      <c r="J33" s="22"/>
      <c r="K33" s="23" t="s">
        <v>57</v>
      </c>
      <c r="L33" s="24" t="s">
        <v>55</v>
      </c>
      <c r="M33" s="24" t="s">
        <v>56</v>
      </c>
      <c r="N33" s="24" t="s">
        <v>62</v>
      </c>
      <c r="O33" s="24" t="s">
        <v>63</v>
      </c>
      <c r="P33" s="18" t="s">
        <v>64</v>
      </c>
      <c r="Q33" s="18" t="s">
        <v>65</v>
      </c>
      <c r="R33" s="18" t="s">
        <v>66</v>
      </c>
      <c r="S33" s="18" t="s">
        <v>67</v>
      </c>
      <c r="T33" s="18" t="s">
        <v>68</v>
      </c>
      <c r="U33" s="18" t="s">
        <v>69</v>
      </c>
      <c r="V33" s="18" t="s">
        <v>70</v>
      </c>
      <c r="W33" s="18" t="s">
        <v>71</v>
      </c>
      <c r="X33" s="18" t="s">
        <v>72</v>
      </c>
      <c r="AB33" t="str">
        <f t="shared" si="1"/>
        <v>;;J0;J.;O.;N.;4A;6A;8A;10A;12A;4B;6B;8B;10B;12B;;;</v>
      </c>
      <c r="AC33" t="str">
        <f t="shared" si="0"/>
        <v>do $$ begin IF EXISTS (SELECT 1 FROM operace WHERE operace_id = 2107) THEN update operace set kod = '', nazev = 'Frézování prokovené hloubkové', popis = '', filtr = ';;J0;J.;O.;N.;4A;6A;8A;10A;12A;4B;6B;8B;10B;12B;;;', poradi = 31 where operace_id = 2107; ELSE INSERT INTO OPERACE (operace_id, nazev, popis, filtr, kod, poradi) VALUES (2107,'Frézování prokovené hloubkové','',';;J0;J.;O.;N.;4A;6A;8A;10A;12A;4B;6B;8B;10B;12B;;;','',31); END IF; END $$;</v>
      </c>
    </row>
    <row r="34" spans="1:29" x14ac:dyDescent="0.25">
      <c r="A34" s="61"/>
      <c r="B34">
        <v>32</v>
      </c>
      <c r="D34">
        <v>23</v>
      </c>
      <c r="E34" s="9" t="s">
        <v>15</v>
      </c>
      <c r="F34" s="39"/>
      <c r="G34" s="39"/>
      <c r="L34" s="18"/>
      <c r="M34" s="18"/>
      <c r="N34" s="18"/>
      <c r="O34" s="19"/>
      <c r="P34" s="19" t="s">
        <v>64</v>
      </c>
      <c r="Q34" s="19" t="s">
        <v>65</v>
      </c>
      <c r="R34" s="19" t="s">
        <v>66</v>
      </c>
      <c r="S34" s="19" t="s">
        <v>67</v>
      </c>
      <c r="T34" s="19" t="s">
        <v>68</v>
      </c>
      <c r="U34" s="19" t="s">
        <v>69</v>
      </c>
      <c r="V34" s="19" t="s">
        <v>70</v>
      </c>
      <c r="W34" s="19" t="s">
        <v>71</v>
      </c>
      <c r="X34" s="19" t="s">
        <v>72</v>
      </c>
      <c r="AB34" t="str">
        <f t="shared" si="1"/>
        <v>;;;;;;;6A;8A;10A;12A;4B;6B;8B;10B;12B;;;</v>
      </c>
      <c r="AC34" t="str">
        <f t="shared" si="0"/>
        <v>do $$ begin IF EXISTS (SELECT 1 FROM operace WHERE operace_id = 23) THEN update operace set kod = '', nazev = 'Ostřih dle vrtaných značek', popis = '', filtr = ';;;;;;;6A;8A;10A;12A;4B;6B;8B;10B;12B;;;', poradi = 32 where operace_id = 23; ELSE INSERT INTO OPERACE (operace_id, nazev, popis, filtr, kod, poradi) VALUES (23,'Ostřih dle vrtaných značek','',';;;;;;;6A;8A;10A;12A;4B;6B;8B;10B;12B;;;','',32); END IF; END $$;</v>
      </c>
    </row>
    <row r="35" spans="1:29" x14ac:dyDescent="0.25">
      <c r="A35" s="61"/>
      <c r="B35">
        <v>33</v>
      </c>
      <c r="D35">
        <v>24</v>
      </c>
      <c r="E35" s="1" t="s">
        <v>1</v>
      </c>
      <c r="F35" s="35"/>
      <c r="G35" s="35"/>
      <c r="H35" s="17" t="s">
        <v>123</v>
      </c>
      <c r="I35" s="17"/>
      <c r="J35" s="17"/>
      <c r="K35" s="4"/>
      <c r="L35" s="4"/>
      <c r="M35" s="4"/>
      <c r="N35" s="4"/>
      <c r="O35" s="18"/>
      <c r="P35" s="18" t="s">
        <v>64</v>
      </c>
      <c r="Q35" s="18" t="s">
        <v>65</v>
      </c>
      <c r="R35" s="18" t="s">
        <v>66</v>
      </c>
      <c r="S35" s="18" t="s">
        <v>67</v>
      </c>
      <c r="T35" s="18" t="s">
        <v>68</v>
      </c>
      <c r="U35" s="18" t="s">
        <v>69</v>
      </c>
      <c r="V35" s="18" t="s">
        <v>70</v>
      </c>
      <c r="W35" s="18" t="s">
        <v>71</v>
      </c>
      <c r="X35" s="18" t="s">
        <v>72</v>
      </c>
      <c r="AB35" t="str">
        <f t="shared" si="1"/>
        <v>;;;;;;;6A;8A;10A;12A;4B;6B;8B;10B;12B;;;</v>
      </c>
      <c r="AC35" t="str">
        <f t="shared" si="0"/>
        <v>do $$ begin IF EXISTS (SELECT 1 FROM operace WHERE operace_id = 24) THEN update operace set kod = '', nazev = 'Fazetovat hrany pro zlacení', popis = 'imersní zlacení, ≤ 2,0 mm', filtr = ';;;;;;;6A;8A;10A;12A;4B;6B;8B;10B;12B;;;', poradi = 33 where operace_id = 24; ELSE INSERT INTO OPERACE (operace_id, nazev, popis, filtr, kod, poradi) VALUES (24,'Fazetovat hrany pro zlacení','imersní zlacení, ≤ 2,0 mm',';;;;;;;6A;8A;10A;12A;4B;6B;8B;10B;12B;;;','',33); END IF; END $$;</v>
      </c>
    </row>
    <row r="36" spans="1:29" x14ac:dyDescent="0.25">
      <c r="A36" s="61"/>
      <c r="B36">
        <v>34</v>
      </c>
      <c r="D36">
        <v>25</v>
      </c>
      <c r="E36" s="2" t="s">
        <v>329</v>
      </c>
      <c r="F36" s="38"/>
      <c r="G36" s="38"/>
      <c r="J36" t="s">
        <v>58</v>
      </c>
      <c r="K36" s="4"/>
      <c r="L36" s="4"/>
      <c r="M36" s="4" t="s">
        <v>56</v>
      </c>
      <c r="N36" s="4" t="s">
        <v>62</v>
      </c>
      <c r="O36" s="4" t="s">
        <v>63</v>
      </c>
      <c r="P36" s="4" t="s">
        <v>64</v>
      </c>
      <c r="Q36" s="4" t="s">
        <v>65</v>
      </c>
      <c r="R36" s="4" t="s">
        <v>66</v>
      </c>
      <c r="S36" s="4" t="s">
        <v>67</v>
      </c>
      <c r="T36" s="4" t="s">
        <v>68</v>
      </c>
      <c r="U36" s="4" t="s">
        <v>69</v>
      </c>
      <c r="V36" s="4" t="s">
        <v>70</v>
      </c>
      <c r="W36" s="4" t="s">
        <v>71</v>
      </c>
      <c r="X36" s="4" t="s">
        <v>72</v>
      </c>
      <c r="AB36" t="str">
        <f t="shared" si="1"/>
        <v>;S.;;;O.;N.;4A;6A;8A;10A;12A;4B;6B;8B;10B;12B;;;</v>
      </c>
      <c r="AC36" t="str">
        <f t="shared" si="0"/>
        <v>do $$ begin IF EXISTS (SELECT 1 FROM operace WHERE operace_id = 25) THEN update operace set kod = '', nazev = 'Kartáčování', popis = '', filtr = ';S.;;;O.;N.;4A;6A;8A;10A;12A;4B;6B;8B;10B;12B;;;', poradi = 34 where operace_id = 25; ELSE INSERT INTO OPERACE (operace_id, nazev, popis, filtr, kod, poradi) VALUES (25,'Kartáčování','',';S.;;;O.;N.;4A;6A;8A;10A;12A;4B;6B;8B;10B;12B;;;','',34); END IF; END $$;</v>
      </c>
    </row>
    <row r="37" spans="1:29" x14ac:dyDescent="0.25">
      <c r="A37" s="61"/>
      <c r="B37">
        <v>35</v>
      </c>
      <c r="D37">
        <v>26</v>
      </c>
      <c r="E37" s="2" t="s">
        <v>4</v>
      </c>
      <c r="F37" s="38"/>
      <c r="G37" s="38"/>
      <c r="K37" s="4" t="s">
        <v>57</v>
      </c>
      <c r="L37" s="4" t="s">
        <v>55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AB37" t="str">
        <f t="shared" si="1"/>
        <v>;;J0;J.;;;;;;;;;;;;;;;</v>
      </c>
      <c r="AC37" t="str">
        <f t="shared" si="0"/>
        <v>do $$ begin IF EXISTS (SELECT 1 FROM operace WHERE operace_id = 26) THEN update operace set kod = '', nazev = 'Kartáčování jednostranné - jen strana Cu', popis = '', filtr = ';;J0;J.;;;;;;;;;;;;;;;', poradi = 35 where operace_id = 26; ELSE INSERT INTO OPERACE (operace_id, nazev, popis, filtr, kod, poradi) VALUES (26,'Kartáčování jednostranné - jen strana Cu','',';;J0;J.;;;;;;;;;;;;;;;','',35); END IF; END $$;</v>
      </c>
    </row>
    <row r="38" spans="1:29" x14ac:dyDescent="0.25">
      <c r="A38" s="61"/>
      <c r="B38">
        <v>36</v>
      </c>
      <c r="D38">
        <v>27</v>
      </c>
      <c r="E38" s="14" t="s">
        <v>100</v>
      </c>
      <c r="F38" s="41"/>
      <c r="G38" s="41"/>
      <c r="H38" t="s">
        <v>102</v>
      </c>
      <c r="K38" s="4"/>
      <c r="L38" s="4"/>
      <c r="M38" s="4" t="s">
        <v>56</v>
      </c>
      <c r="N38" s="4"/>
      <c r="O38" s="4" t="s">
        <v>63</v>
      </c>
      <c r="P38" s="4" t="s">
        <v>64</v>
      </c>
      <c r="Q38" s="4" t="s">
        <v>65</v>
      </c>
      <c r="R38" s="4" t="s">
        <v>66</v>
      </c>
      <c r="S38" s="4" t="s">
        <v>67</v>
      </c>
      <c r="T38" s="4" t="s">
        <v>68</v>
      </c>
      <c r="U38" s="4" t="s">
        <v>69</v>
      </c>
      <c r="V38" s="4" t="s">
        <v>70</v>
      </c>
      <c r="W38" s="4" t="s">
        <v>71</v>
      </c>
      <c r="X38" s="4" t="s">
        <v>72</v>
      </c>
      <c r="AB38" t="str">
        <f t="shared" si="1"/>
        <v>;;;;O.;;4A;6A;8A;10A;12A;4B;6B;8B;10B;12B;;;</v>
      </c>
      <c r="AC38" t="str">
        <f t="shared" si="0"/>
        <v>do $$ begin IF EXISTS (SELECT 1 FROM operace WHERE operace_id = 27) THEN update operace set kod = '', nazev = 'Sušení 90 min při 110 oC', popis = 'pro materál Diclad', filtr = ';;;;O.;;4A;6A;8A;10A;12A;4B;6B;8B;10B;12B;;;', poradi = 36 where operace_id = 27; ELSE INSERT INTO OPERACE (operace_id, nazev, popis, filtr, kod, poradi) VALUES (27,'Sušení 90 min při 110 oC','pro materál Diclad',';;;;O.;;4A;6A;8A;10A;12A;4B;6B;8B;10B;12B;;;','',36); END IF; END $$;</v>
      </c>
    </row>
    <row r="39" spans="1:29" x14ac:dyDescent="0.25">
      <c r="A39" s="61"/>
      <c r="B39">
        <v>37</v>
      </c>
      <c r="D39">
        <v>28</v>
      </c>
      <c r="E39" s="14" t="s">
        <v>101</v>
      </c>
      <c r="F39" s="41"/>
      <c r="G39" s="41"/>
      <c r="H39" t="s">
        <v>99</v>
      </c>
      <c r="K39" s="4"/>
      <c r="L39" s="4"/>
      <c r="M39" s="4" t="s">
        <v>56</v>
      </c>
      <c r="N39" s="4"/>
      <c r="O39" s="4" t="s">
        <v>63</v>
      </c>
      <c r="P39" s="4" t="s">
        <v>64</v>
      </c>
      <c r="Q39" s="4" t="s">
        <v>65</v>
      </c>
      <c r="R39" s="4" t="s">
        <v>66</v>
      </c>
      <c r="S39" s="4" t="s">
        <v>67</v>
      </c>
      <c r="T39" s="4" t="s">
        <v>68</v>
      </c>
      <c r="U39" s="4" t="s">
        <v>69</v>
      </c>
      <c r="V39" s="4" t="s">
        <v>70</v>
      </c>
      <c r="W39" s="4" t="s">
        <v>71</v>
      </c>
      <c r="X39" s="4" t="s">
        <v>72</v>
      </c>
      <c r="AB39" t="str">
        <f t="shared" si="1"/>
        <v>;;;;O.;;4A;6A;8A;10A;12A;4B;6B;8B;10B;12B;;;</v>
      </c>
      <c r="AC39" t="str">
        <f t="shared" si="0"/>
        <v>do $$ begin IF EXISTS (SELECT 1 FROM operace WHERE operace_id = 28) THEN update operace set kod = '', nazev = 'Sušení 2h při 150 oC', popis = 'pro materiál is620', filtr = ';;;;O.;;4A;6A;8A;10A;12A;4B;6B;8B;10B;12B;;;', poradi = 37 where operace_id = 28; ELSE INSERT INTO OPERACE (operace_id, nazev, popis, filtr, kod, poradi) VALUES (28,'Sušení 2h při 150 oC','pro materiál is620',';;;;O.;;4A;6A;8A;10A;12A;4B;6B;8B;10B;12B;;;','',37); END IF; END $$;</v>
      </c>
    </row>
    <row r="40" spans="1:29" x14ac:dyDescent="0.25">
      <c r="A40" s="61"/>
      <c r="B40">
        <v>38</v>
      </c>
      <c r="D40">
        <v>29</v>
      </c>
      <c r="E40" s="14" t="s">
        <v>91</v>
      </c>
      <c r="F40" s="41"/>
      <c r="G40" s="41"/>
      <c r="H40" t="s">
        <v>94</v>
      </c>
      <c r="K40" s="4"/>
      <c r="L40" s="4"/>
      <c r="M40" s="4" t="s">
        <v>56</v>
      </c>
      <c r="N40" s="4"/>
      <c r="O40" s="4" t="s">
        <v>63</v>
      </c>
      <c r="P40" s="4" t="s">
        <v>64</v>
      </c>
      <c r="Q40" s="4" t="s">
        <v>65</v>
      </c>
      <c r="R40" s="4" t="s">
        <v>66</v>
      </c>
      <c r="S40" s="4" t="s">
        <v>67</v>
      </c>
      <c r="T40" s="4" t="s">
        <v>68</v>
      </c>
      <c r="U40" s="4" t="s">
        <v>69</v>
      </c>
      <c r="V40" s="4" t="s">
        <v>70</v>
      </c>
      <c r="W40" s="4" t="s">
        <v>71</v>
      </c>
      <c r="X40" s="4" t="s">
        <v>72</v>
      </c>
      <c r="AB40" t="str">
        <f t="shared" si="1"/>
        <v>;;;;O.;;4A;6A;8A;10A;12A;4B;6B;8B;10B;12B;;;</v>
      </c>
      <c r="AC40" t="str">
        <f t="shared" si="0"/>
        <v>do $$ begin IF EXISTS (SELECT 1 FROM operace WHERE operace_id = 29) THEN update operace set kod = '', nazev = 'Čištění v ultrazvukové myčce 10 min', popis = ' pro otvory ≥ 0,40 mm', filtr = ';;;;O.;;4A;6A;8A;10A;12A;4B;6B;8B;10B;12B;;;', poradi = 38 where operace_id = 29; ELSE INSERT INTO OPERACE (operace_id, nazev, popis, filtr, kod, poradi) VALUES (29,'Čištění v ultrazvukové myčce 10 min',' pro otvory ≥ 0,40 mm',';;;;O.;;4A;6A;8A;10A;12A;4B;6B;8B;10B;12B;;;','',38); END IF; END $$;</v>
      </c>
    </row>
    <row r="41" spans="1:29" x14ac:dyDescent="0.25">
      <c r="A41" s="61"/>
      <c r="B41">
        <v>39</v>
      </c>
      <c r="D41">
        <v>30</v>
      </c>
      <c r="E41" s="14" t="s">
        <v>92</v>
      </c>
      <c r="F41" s="41"/>
      <c r="G41" s="41"/>
      <c r="H41" t="s">
        <v>93</v>
      </c>
      <c r="M41" s="4" t="s">
        <v>56</v>
      </c>
      <c r="O41" s="4" t="s">
        <v>63</v>
      </c>
      <c r="P41" s="4" t="s">
        <v>64</v>
      </c>
      <c r="Q41" s="4" t="s">
        <v>65</v>
      </c>
      <c r="R41" s="4" t="s">
        <v>66</v>
      </c>
      <c r="S41" s="4" t="s">
        <v>67</v>
      </c>
      <c r="T41" s="4" t="s">
        <v>68</v>
      </c>
      <c r="U41" s="4" t="s">
        <v>69</v>
      </c>
      <c r="V41" s="4" t="s">
        <v>70</v>
      </c>
      <c r="W41" s="4" t="s">
        <v>71</v>
      </c>
      <c r="X41" s="4" t="s">
        <v>72</v>
      </c>
      <c r="AB41" t="str">
        <f t="shared" si="1"/>
        <v>;;;;O.;;4A;6A;8A;10A;12A;4B;6B;8B;10B;12B;;;</v>
      </c>
      <c r="AC41" t="str">
        <f t="shared" si="0"/>
        <v>do $$ begin IF EXISTS (SELECT 1 FROM operace WHERE operace_id = 30) THEN update operace set kod = '', nazev = 'Čištění v ultrazvukové myčce 30 min', popis = ' pro otvory ≤ 0,35 mm', filtr = ';;;;O.;;4A;6A;8A;10A;12A;4B;6B;8B;10B;12B;;;', poradi = 39 where operace_id = 30; ELSE INSERT INTO OPERACE (operace_id, nazev, popis, filtr, kod, poradi) VALUES (30,'Čištění v ultrazvukové myčce 30 min',' pro otvory ≤ 0,35 mm',';;;;O.;;4A;6A;8A;10A;12A;4B;6B;8B;10B;12B;;;','',39); END IF; END $$;</v>
      </c>
    </row>
    <row r="42" spans="1:29" x14ac:dyDescent="0.25">
      <c r="A42" s="61"/>
      <c r="B42">
        <v>40</v>
      </c>
      <c r="D42">
        <v>31</v>
      </c>
      <c r="E42" s="1" t="s">
        <v>16</v>
      </c>
      <c r="F42" s="35"/>
      <c r="G42" s="35"/>
      <c r="M42" s="4" t="s">
        <v>56</v>
      </c>
      <c r="O42" s="4" t="s">
        <v>63</v>
      </c>
      <c r="P42" s="4" t="s">
        <v>64</v>
      </c>
      <c r="Q42" s="4" t="s">
        <v>65</v>
      </c>
      <c r="R42" s="4" t="s">
        <v>66</v>
      </c>
      <c r="S42" s="4" t="s">
        <v>67</v>
      </c>
      <c r="T42" s="4" t="s">
        <v>68</v>
      </c>
      <c r="U42" s="4" t="s">
        <v>69</v>
      </c>
      <c r="V42" s="4" t="s">
        <v>70</v>
      </c>
      <c r="W42" s="4" t="s">
        <v>71</v>
      </c>
      <c r="X42" s="4" t="s">
        <v>72</v>
      </c>
      <c r="AB42" t="str">
        <f t="shared" si="1"/>
        <v>;;;;O.;;4A;6A;8A;10A;12A;4B;6B;8B;10B;12B;;;</v>
      </c>
      <c r="AC42" t="str">
        <f t="shared" si="0"/>
        <v>do $$ begin IF EXISTS (SELECT 1 FROM operace WHERE operace_id = 31) THEN update operace set kod = '', nazev = 'NEOPACT-standardní', popis = '', filtr = ';;;;O.;;4A;6A;8A;10A;12A;4B;6B;8B;10B;12B;;;', poradi = 40 where operace_id = 31; ELSE INSERT INTO OPERACE (operace_id, nazev, popis, filtr, kod, poradi) VALUES (31,'NEOPACT-standardní','',';;;;O.;;4A;6A;8A;10A;12A;4B;6B;8B;10B;12B;;;','',40); END IF; END $$;</v>
      </c>
    </row>
    <row r="43" spans="1:29" x14ac:dyDescent="0.25">
      <c r="A43" s="61"/>
      <c r="B43">
        <v>41</v>
      </c>
      <c r="D43">
        <v>32</v>
      </c>
      <c r="E43" s="1" t="s">
        <v>17</v>
      </c>
      <c r="F43" s="35"/>
      <c r="G43" s="35"/>
      <c r="H43" t="s">
        <v>103</v>
      </c>
      <c r="M43" s="4" t="s">
        <v>56</v>
      </c>
      <c r="O43" s="4" t="s">
        <v>63</v>
      </c>
      <c r="P43" s="4" t="s">
        <v>64</v>
      </c>
      <c r="Q43" s="4" t="s">
        <v>65</v>
      </c>
      <c r="R43" s="4" t="s">
        <v>66</v>
      </c>
      <c r="S43" s="4" t="s">
        <v>67</v>
      </c>
      <c r="T43" s="4" t="s">
        <v>68</v>
      </c>
      <c r="U43" s="4" t="s">
        <v>69</v>
      </c>
      <c r="V43" s="4" t="s">
        <v>70</v>
      </c>
      <c r="W43" s="4" t="s">
        <v>71</v>
      </c>
      <c r="X43" s="4" t="s">
        <v>72</v>
      </c>
      <c r="AB43" t="str">
        <f t="shared" si="1"/>
        <v>;;;;O.;;4A;6A;8A;10A;12A;4B;6B;8B;10B;12B;;;</v>
      </c>
      <c r="AC43" t="str">
        <f t="shared" si="0"/>
        <v>do $$ begin IF EXISTS (SELECT 1 FROM operace WHERE operace_id = 32) THEN update operace set kod = '', nazev = 'NEOPACT-2x = prg 1 + 7', popis = ' pro otvory ≤ 0,30 mm,Roger 4003 C, 3010, 3250B, zaplnované otvory', filtr = ';;;;O.;;4A;6A;8A;10A;12A;4B;6B;8B;10B;12B;;;', poradi = 41 where operace_id = 32; ELSE INSERT INTO OPERACE (operace_id, nazev, popis, filtr, kod, poradi) VALUES (32,'NEOPACT-2x = prg 1 + 7',' pro otvory ≤ 0,30 mm,Roger 4003 C, 3010, 3250B, zaplnované otvory',';;;;O.;;4A;6A;8A;10A;12A;4B;6B;8B;10B;12B;;;','',41); END IF; END $$;</v>
      </c>
    </row>
    <row r="44" spans="1:29" x14ac:dyDescent="0.25">
      <c r="A44" s="61"/>
      <c r="B44">
        <v>42</v>
      </c>
      <c r="D44">
        <v>33</v>
      </c>
      <c r="E44" s="1" t="s">
        <v>95</v>
      </c>
      <c r="F44" s="35"/>
      <c r="G44" s="35"/>
      <c r="H44" t="s">
        <v>98</v>
      </c>
      <c r="M44" s="4" t="s">
        <v>56</v>
      </c>
      <c r="O44" s="4" t="s">
        <v>63</v>
      </c>
      <c r="P44" s="4" t="s">
        <v>64</v>
      </c>
      <c r="Q44" s="4" t="s">
        <v>65</v>
      </c>
      <c r="R44" s="4" t="s">
        <v>66</v>
      </c>
      <c r="S44" s="4" t="s">
        <v>67</v>
      </c>
      <c r="T44" s="4" t="s">
        <v>68</v>
      </c>
      <c r="U44" s="4" t="s">
        <v>69</v>
      </c>
      <c r="V44" s="4" t="s">
        <v>70</v>
      </c>
      <c r="W44" s="4" t="s">
        <v>71</v>
      </c>
      <c r="X44" s="4" t="s">
        <v>72</v>
      </c>
      <c r="AB44" t="str">
        <f t="shared" si="1"/>
        <v>;;;;O.;;4A;6A;8A;10A;12A;4B;6B;8B;10B;12B;;;</v>
      </c>
      <c r="AC44" t="str">
        <f t="shared" si="0"/>
        <v>do $$ begin IF EXISTS (SELECT 1 FROM operace WHERE operace_id = 33) THEN update operace set kod = '', nazev = 'NEOPACT-3x = prg 1+7+7', popis = 'pro Arlony, Diclad', filtr = ';;;;O.;;4A;6A;8A;10A;12A;4B;6B;8B;10B;12B;;;', poradi = 42 where operace_id = 33; ELSE INSERT INTO OPERACE (operace_id, nazev, popis, filtr, kod, poradi) VALUES (33,'NEOPACT-3x = prg 1+7+7','pro Arlony, Diclad',';;;;O.;;4A;6A;8A;10A;12A;4B;6B;8B;10B;12B;;;','',42); END IF; END $$;</v>
      </c>
    </row>
    <row r="45" spans="1:29" x14ac:dyDescent="0.25">
      <c r="A45" s="61"/>
      <c r="B45">
        <v>43</v>
      </c>
      <c r="D45">
        <v>34</v>
      </c>
      <c r="E45" s="14" t="s">
        <v>188</v>
      </c>
      <c r="F45" s="41"/>
      <c r="G45" s="41"/>
      <c r="H45" t="s">
        <v>97</v>
      </c>
      <c r="M45" s="4" t="s">
        <v>56</v>
      </c>
      <c r="O45" s="4" t="s">
        <v>63</v>
      </c>
      <c r="P45" s="4" t="s">
        <v>64</v>
      </c>
      <c r="Q45" s="4" t="s">
        <v>65</v>
      </c>
      <c r="R45" s="4" t="s">
        <v>66</v>
      </c>
      <c r="S45" s="4" t="s">
        <v>67</v>
      </c>
      <c r="T45" s="4" t="s">
        <v>68</v>
      </c>
      <c r="U45" s="4" t="s">
        <v>69</v>
      </c>
      <c r="V45" s="4" t="s">
        <v>70</v>
      </c>
      <c r="W45" s="4" t="s">
        <v>71</v>
      </c>
      <c r="X45" s="4" t="s">
        <v>72</v>
      </c>
      <c r="AB45" t="str">
        <f t="shared" si="1"/>
        <v>;;;;O.;;4A;6A;8A;10A;12A;4B;6B;8B;10B;12B;;;</v>
      </c>
      <c r="AC45" t="str">
        <f t="shared" si="0"/>
        <v>do $$ begin IF EXISTS (SELECT 1 FROM operace WHERE operace_id = 34) THEN update operace set kod = '', nazev = 'NEOPACT-4x = prg 1+1+1+1 + kontrola pokovení technologem', popis = 'pro duroid 5880', filtr = ';;;;O.;;4A;6A;8A;10A;12A;4B;6B;8B;10B;12B;;;', poradi = 43 where operace_id = 34; ELSE INSERT INTO OPERACE (operace_id, nazev, popis, filtr, kod, poradi) VALUES (34,'NEOPACT-4x = prg 1+1+1+1 + kontrola pokovení technologem','pro duroid 5880',';;;;O.;;4A;6A;8A;10A;12A;4B;6B;8B;10B;12B;;;','',43); END IF; END $$;</v>
      </c>
    </row>
    <row r="46" spans="1:29" x14ac:dyDescent="0.25">
      <c r="A46" s="61"/>
      <c r="B46">
        <v>44</v>
      </c>
      <c r="D46">
        <v>35</v>
      </c>
      <c r="E46" s="14" t="s">
        <v>104</v>
      </c>
      <c r="F46" s="41"/>
      <c r="G46" s="41"/>
      <c r="H46" t="s">
        <v>106</v>
      </c>
      <c r="M46" s="4" t="s">
        <v>56</v>
      </c>
      <c r="O46" s="4" t="s">
        <v>63</v>
      </c>
      <c r="P46" s="4" t="s">
        <v>64</v>
      </c>
      <c r="Q46" s="4" t="s">
        <v>65</v>
      </c>
      <c r="R46" s="4" t="s">
        <v>66</v>
      </c>
      <c r="S46" s="4" t="s">
        <v>67</v>
      </c>
      <c r="T46" s="4" t="s">
        <v>68</v>
      </c>
      <c r="U46" s="4" t="s">
        <v>69</v>
      </c>
      <c r="V46" s="4" t="s">
        <v>70</v>
      </c>
      <c r="W46" s="4" t="s">
        <v>71</v>
      </c>
      <c r="X46" s="4" t="s">
        <v>72</v>
      </c>
      <c r="AB46" t="str">
        <f t="shared" si="1"/>
        <v>;;;;O.;;4A;6A;8A;10A;12A;4B;6B;8B;10B;12B;;;</v>
      </c>
      <c r="AC46" t="str">
        <f t="shared" si="0"/>
        <v>do $$ begin IF EXISTS (SELECT 1 FROM operace WHERE operace_id = 35) THEN update operace set kod = '', nazev = 'Kontrola pokovení otvorů technologem - nechat v regálu', popis = 'Arlon, Diclad, Duroid,zaplnované otvory', filtr = ';;;;O.;;4A;6A;8A;10A;12A;4B;6B;8B;10B;12B;;;', poradi = 44 where operace_id = 35; ELSE INSERT INTO OPERACE (operace_id, nazev, popis, filtr, kod, poradi) VALUES (35,'Kontrola pokovení otvorů technologem - nechat v regálu','Arlon, Diclad, Duroid,zaplnované otvory',';;;;O.;;4A;6A;8A;10A;12A;4B;6B;8B;10B;12B;;;','',44); END IF; END $$;</v>
      </c>
    </row>
    <row r="47" spans="1:29" x14ac:dyDescent="0.25">
      <c r="A47" s="61"/>
      <c r="B47">
        <v>45</v>
      </c>
      <c r="D47">
        <v>36</v>
      </c>
      <c r="E47" s="15" t="s">
        <v>105</v>
      </c>
      <c r="F47" s="42"/>
      <c r="G47" s="42"/>
      <c r="H47" t="s">
        <v>86</v>
      </c>
      <c r="M47" s="4" t="s">
        <v>56</v>
      </c>
      <c r="O47" s="4" t="s">
        <v>63</v>
      </c>
      <c r="P47" s="4" t="s">
        <v>64</v>
      </c>
      <c r="Q47" s="4" t="s">
        <v>65</v>
      </c>
      <c r="R47" s="4" t="s">
        <v>66</v>
      </c>
      <c r="S47" s="4" t="s">
        <v>67</v>
      </c>
      <c r="T47" s="4" t="s">
        <v>68</v>
      </c>
      <c r="U47" s="4" t="s">
        <v>69</v>
      </c>
      <c r="V47" s="4" t="s">
        <v>70</v>
      </c>
      <c r="W47" s="4" t="s">
        <v>71</v>
      </c>
      <c r="X47" s="4" t="s">
        <v>72</v>
      </c>
      <c r="AB47" t="str">
        <f t="shared" si="1"/>
        <v>;;;;O.;;4A;6A;8A;10A;12A;4B;6B;8B;10B;12B;;;</v>
      </c>
      <c r="AC47" t="str">
        <f t="shared" si="0"/>
        <v>do $$ begin IF EXISTS (SELECT 1 FROM operace WHERE operace_id = 36) THEN update operace set kod = '', nazev = 'Cu-Sn- CELOPLOŠNÉ galvanické prokovení', popis = 'zaplnované otvory', filtr = ';;;;O.;;4A;6A;8A;10A;12A;4B;6B;8B;10B;12B;;;', poradi = 45 where operace_id = 36; ELSE INSERT INTO OPERACE (operace_id, nazev, popis, filtr, kod, poradi) VALUES (36,'Cu-Sn- CELOPLOŠNÉ galvanické prokovení','zaplnované otvory',';;;;O.;;4A;6A;8A;10A;12A;4B;6B;8B;10B;12B;;;','',45); END IF; END $$;</v>
      </c>
    </row>
    <row r="48" spans="1:29" x14ac:dyDescent="0.25">
      <c r="A48" s="61"/>
      <c r="B48">
        <v>46</v>
      </c>
      <c r="D48">
        <v>37</v>
      </c>
      <c r="E48" s="15" t="s">
        <v>25</v>
      </c>
      <c r="F48" s="42"/>
      <c r="G48" s="42"/>
      <c r="H48" t="s">
        <v>86</v>
      </c>
      <c r="M48" s="4" t="s">
        <v>56</v>
      </c>
      <c r="O48" s="4" t="s">
        <v>63</v>
      </c>
      <c r="P48" s="4" t="s">
        <v>64</v>
      </c>
      <c r="Q48" s="4" t="s">
        <v>65</v>
      </c>
      <c r="R48" s="4" t="s">
        <v>66</v>
      </c>
      <c r="S48" s="4" t="s">
        <v>67</v>
      </c>
      <c r="T48" s="4" t="s">
        <v>68</v>
      </c>
      <c r="U48" s="4" t="s">
        <v>69</v>
      </c>
      <c r="V48" s="4" t="s">
        <v>70</v>
      </c>
      <c r="W48" s="4" t="s">
        <v>71</v>
      </c>
      <c r="X48" s="4" t="s">
        <v>72</v>
      </c>
      <c r="AB48" t="str">
        <f t="shared" si="1"/>
        <v>;;;;O.;;4A;6A;8A;10A;12A;4B;6B;8B;10B;12B;;;</v>
      </c>
      <c r="AC48" t="str">
        <f t="shared" si="0"/>
        <v>do $$ begin IF EXISTS (SELECT 1 FROM operace WHERE operace_id = 37) THEN update operace set kod = '', nazev = 'Stripování Sn', popis = 'zaplnované otvory', filtr = ';;;;O.;;4A;6A;8A;10A;12A;4B;6B;8B;10B;12B;;;', poradi = 46 where operace_id = 37; ELSE INSERT INTO OPERACE (operace_id, nazev, popis, filtr, kod, poradi) VALUES (37,'Stripování Sn','zaplnované otvory',';;;;O.;;4A;6A;8A;10A;12A;4B;6B;8B;10B;12B;;;','',46); END IF; END $$;</v>
      </c>
    </row>
    <row r="49" spans="1:29" x14ac:dyDescent="0.25">
      <c r="A49" s="61"/>
      <c r="B49">
        <v>47</v>
      </c>
      <c r="D49">
        <v>38</v>
      </c>
      <c r="E49" s="14" t="s">
        <v>5</v>
      </c>
      <c r="F49" s="41"/>
      <c r="G49" s="41"/>
      <c r="H49" t="s">
        <v>86</v>
      </c>
      <c r="M49" s="4" t="s">
        <v>56</v>
      </c>
      <c r="O49" s="4" t="s">
        <v>63</v>
      </c>
      <c r="P49" s="4" t="s">
        <v>64</v>
      </c>
      <c r="Q49" s="4" t="s">
        <v>65</v>
      </c>
      <c r="R49" s="4" t="s">
        <v>66</v>
      </c>
      <c r="S49" s="4" t="s">
        <v>67</v>
      </c>
      <c r="T49" s="4" t="s">
        <v>68</v>
      </c>
      <c r="U49" s="4" t="s">
        <v>69</v>
      </c>
      <c r="V49" s="4" t="s">
        <v>70</v>
      </c>
      <c r="W49" s="4" t="s">
        <v>71</v>
      </c>
      <c r="X49" s="4" t="s">
        <v>72</v>
      </c>
      <c r="AB49" t="str">
        <f t="shared" si="1"/>
        <v>;;;;O.;;4A;6A;8A;10A;12A;4B;6B;8B;10B;12B;;;</v>
      </c>
      <c r="AC49" t="str">
        <f t="shared" si="0"/>
        <v>do $$ begin IF EXISTS (SELECT 1 FROM operace WHERE operace_id = 38) THEN update operace set kod = '', nazev = 'Mikrozaleptání (MEB)', popis = 'zaplnované otvory', filtr = ';;;;O.;;4A;6A;8A;10A;12A;4B;6B;8B;10B;12B;;;', poradi = 47 where operace_id = 38; ELSE INSERT INTO OPERACE (operace_id, nazev, popis, filtr, kod, poradi) VALUES (38,'Mikrozaleptání (MEB)','zaplnované otvory',';;;;O.;;4A;6A;8A;10A;12A;4B;6B;8B;10B;12B;;;','',47); END IF; END $$;</v>
      </c>
    </row>
    <row r="50" spans="1:29" x14ac:dyDescent="0.25">
      <c r="A50" s="61"/>
      <c r="B50">
        <v>48</v>
      </c>
      <c r="D50">
        <v>39</v>
      </c>
      <c r="E50" s="16" t="s">
        <v>330</v>
      </c>
      <c r="F50" s="43"/>
      <c r="G50" s="43"/>
      <c r="H50" t="s">
        <v>86</v>
      </c>
      <c r="M50" s="4" t="s">
        <v>56</v>
      </c>
      <c r="O50" s="4" t="s">
        <v>63</v>
      </c>
      <c r="P50" s="4" t="s">
        <v>64</v>
      </c>
      <c r="Q50" s="4" t="s">
        <v>65</v>
      </c>
      <c r="R50" s="4" t="s">
        <v>66</v>
      </c>
      <c r="S50" s="4" t="s">
        <v>67</v>
      </c>
      <c r="T50" s="4" t="s">
        <v>68</v>
      </c>
      <c r="U50" s="4" t="s">
        <v>69</v>
      </c>
      <c r="V50" s="4" t="s">
        <v>70</v>
      </c>
      <c r="W50" s="4" t="s">
        <v>71</v>
      </c>
      <c r="X50" s="4" t="s">
        <v>72</v>
      </c>
      <c r="AB50" t="str">
        <f t="shared" si="1"/>
        <v>;;;;O.;;4A;6A;8A;10A;12A;4B;6B;8B;10B;12B;;;</v>
      </c>
      <c r="AC50" t="str">
        <f t="shared" si="0"/>
        <v>do $$ begin IF EXISTS (SELECT 1 FROM operace WHERE operace_id = 39) THEN update operace set kod = '', nazev = 'Zasušení v peci 30 min. 150oC', popis = 'zaplnované otvory', filtr = ';;;;O.;;4A;6A;8A;10A;12A;4B;6B;8B;10B;12B;;;', poradi = 48 where operace_id = 39; ELSE INSERT INTO OPERACE (operace_id, nazev, popis, filtr, kod, poradi) VALUES (39,'Zasušení v peci 30 min. 150oC','zaplnované otvory',';;;;O.;;4A;6A;8A;10A;12A;4B;6B;8B;10B;12B;;;','',48); END IF; END $$;</v>
      </c>
    </row>
    <row r="51" spans="1:29" x14ac:dyDescent="0.25">
      <c r="A51" s="61"/>
      <c r="B51">
        <v>49</v>
      </c>
      <c r="D51">
        <v>40</v>
      </c>
      <c r="E51" s="16" t="s">
        <v>331</v>
      </c>
      <c r="F51" s="43"/>
      <c r="G51" s="43"/>
      <c r="H51" t="s">
        <v>86</v>
      </c>
      <c r="M51" s="4" t="s">
        <v>56</v>
      </c>
      <c r="O51" s="4" t="s">
        <v>63</v>
      </c>
      <c r="P51" s="4" t="s">
        <v>64</v>
      </c>
      <c r="Q51" s="4" t="s">
        <v>65</v>
      </c>
      <c r="R51" s="4" t="s">
        <v>66</v>
      </c>
      <c r="S51" s="4" t="s">
        <v>67</v>
      </c>
      <c r="T51" s="4" t="s">
        <v>68</v>
      </c>
      <c r="U51" s="4" t="s">
        <v>69</v>
      </c>
      <c r="V51" s="4" t="s">
        <v>70</v>
      </c>
      <c r="W51" s="4" t="s">
        <v>71</v>
      </c>
      <c r="X51" s="4" t="s">
        <v>72</v>
      </c>
      <c r="AB51" t="str">
        <f t="shared" si="1"/>
        <v>;;;;O.;;4A;6A;8A;10A;12A;4B;6B;8B;10B;12B;;;</v>
      </c>
      <c r="AC51" t="str">
        <f t="shared" si="0"/>
        <v>do $$ begin IF EXISTS (SELECT 1 FROM operace WHERE operace_id = 40) THEN update operace set kod = '', nazev = 'Zaplnění otvorů', popis = 'zaplnované otvory', filtr = ';;;;O.;;4A;6A;8A;10A;12A;4B;6B;8B;10B;12B;;;', poradi = 49 where operace_id = 40; ELSE INSERT INTO OPERACE (operace_id, nazev, popis, filtr, kod, poradi) VALUES (40,'Zaplnění otvorů','zaplnované otvory',';;;;O.;;4A;6A;8A;10A;12A;4B;6B;8B;10B;12B;;;','',49); END IF; END $$;</v>
      </c>
    </row>
    <row r="52" spans="1:29" x14ac:dyDescent="0.25">
      <c r="A52" s="61"/>
      <c r="B52">
        <v>50</v>
      </c>
      <c r="D52">
        <v>41</v>
      </c>
      <c r="E52" s="16" t="s">
        <v>332</v>
      </c>
      <c r="F52" s="43"/>
      <c r="G52" s="43"/>
      <c r="H52" t="s">
        <v>86</v>
      </c>
      <c r="M52" s="4" t="s">
        <v>56</v>
      </c>
      <c r="O52" s="4" t="s">
        <v>63</v>
      </c>
      <c r="P52" s="4" t="s">
        <v>64</v>
      </c>
      <c r="Q52" s="4" t="s">
        <v>65</v>
      </c>
      <c r="R52" s="4" t="s">
        <v>66</v>
      </c>
      <c r="S52" s="4" t="s">
        <v>67</v>
      </c>
      <c r="T52" s="4" t="s">
        <v>68</v>
      </c>
      <c r="U52" s="4" t="s">
        <v>69</v>
      </c>
      <c r="V52" s="4" t="s">
        <v>70</v>
      </c>
      <c r="W52" s="4" t="s">
        <v>71</v>
      </c>
      <c r="X52" s="4" t="s">
        <v>72</v>
      </c>
      <c r="AB52" t="str">
        <f t="shared" si="1"/>
        <v>;;;;O.;;4A;6A;8A;10A;12A;4B;6B;8B;10B;12B;;;</v>
      </c>
      <c r="AC52" t="str">
        <f t="shared" si="0"/>
        <v>do $$ begin IF EXISTS (SELECT 1 FROM operace WHERE operace_id = 41) THEN update operace set kod = '', nazev = 'Vytvrzení plugin pasty 1 hod.  150oC', popis = 'zaplnované otvory', filtr = ';;;;O.;;4A;6A;8A;10A;12A;4B;6B;8B;10B;12B;;;', poradi = 50 where operace_id = 41; ELSE INSERT INTO OPERACE (operace_id, nazev, popis, filtr, kod, poradi) VALUES (41,'Vytvrzení plugin pasty 1 hod.  150oC','zaplnované otvory',';;;;O.;;4A;6A;8A;10A;12A;4B;6B;8B;10B;12B;;;','',50); END IF; END $$;</v>
      </c>
    </row>
    <row r="53" spans="1:29" x14ac:dyDescent="0.25">
      <c r="A53" s="61"/>
      <c r="B53">
        <v>51</v>
      </c>
      <c r="D53">
        <v>42</v>
      </c>
      <c r="E53" s="16" t="s">
        <v>333</v>
      </c>
      <c r="F53" s="43"/>
      <c r="G53" s="43"/>
      <c r="H53" t="s">
        <v>86</v>
      </c>
      <c r="M53" s="4" t="s">
        <v>56</v>
      </c>
      <c r="O53" s="4" t="s">
        <v>63</v>
      </c>
      <c r="P53" s="4" t="s">
        <v>64</v>
      </c>
      <c r="Q53" s="4" t="s">
        <v>65</v>
      </c>
      <c r="R53" s="4" t="s">
        <v>66</v>
      </c>
      <c r="S53" s="4" t="s">
        <v>67</v>
      </c>
      <c r="T53" s="4" t="s">
        <v>68</v>
      </c>
      <c r="U53" s="4" t="s">
        <v>69</v>
      </c>
      <c r="V53" s="4" t="s">
        <v>70</v>
      </c>
      <c r="W53" s="4" t="s">
        <v>71</v>
      </c>
      <c r="X53" s="4" t="s">
        <v>72</v>
      </c>
      <c r="AB53" t="str">
        <f t="shared" si="1"/>
        <v>;;;;O.;;4A;6A;8A;10A;12A;4B;6B;8B;10B;12B;;;</v>
      </c>
      <c r="AC53" t="str">
        <f t="shared" si="0"/>
        <v>do $$ begin IF EXISTS (SELECT 1 FROM operace WHERE operace_id = 42) THEN update operace set kod = '', nazev = 'Kartáčování do odstranění zbytků zaplnovací pasty', popis = 'zaplnované otvory', filtr = ';;;;O.;;4A;6A;8A;10A;12A;4B;6B;8B;10B;12B;;;', poradi = 51 where operace_id = 42; ELSE INSERT INTO OPERACE (operace_id, nazev, popis, filtr, kod, poradi) VALUES (42,'Kartáčování do odstranění zbytků zaplnovací pasty','zaplnované otvory',';;;;O.;;4A;6A;8A;10A;12A;4B;6B;8B;10B;12B;;;','',51); END IF; END $$;</v>
      </c>
    </row>
    <row r="54" spans="1:29" x14ac:dyDescent="0.25">
      <c r="A54" s="61"/>
      <c r="B54">
        <v>52</v>
      </c>
      <c r="D54">
        <v>43</v>
      </c>
      <c r="E54" s="16" t="s">
        <v>334</v>
      </c>
      <c r="F54" s="43"/>
      <c r="G54" s="43"/>
      <c r="H54" t="s">
        <v>86</v>
      </c>
      <c r="M54" s="4" t="s">
        <v>56</v>
      </c>
      <c r="O54" s="4" t="s">
        <v>63</v>
      </c>
      <c r="P54" s="4" t="s">
        <v>64</v>
      </c>
      <c r="Q54" s="4" t="s">
        <v>65</v>
      </c>
      <c r="R54" s="4" t="s">
        <v>66</v>
      </c>
      <c r="S54" s="4" t="s">
        <v>67</v>
      </c>
      <c r="T54" s="4" t="s">
        <v>68</v>
      </c>
      <c r="U54" s="4" t="s">
        <v>69</v>
      </c>
      <c r="V54" s="4" t="s">
        <v>70</v>
      </c>
      <c r="W54" s="4" t="s">
        <v>71</v>
      </c>
      <c r="X54" s="4" t="s">
        <v>72</v>
      </c>
      <c r="AB54" t="str">
        <f t="shared" si="1"/>
        <v>;;;;O.;;4A;6A;8A;10A;12A;4B;6B;8B;10B;12B;;;</v>
      </c>
      <c r="AC54" t="str">
        <f t="shared" si="0"/>
        <v>do $$ begin IF EXISTS (SELECT 1 FROM operace WHERE operace_id = 43) THEN update operace set kod = '', nazev = 'Kontrola zaplněných otvorů', popis = 'zaplnované otvory', filtr = ';;;;O.;;4A;6A;8A;10A;12A;4B;6B;8B;10B;12B;;;', poradi = 52 where operace_id = 43; ELSE INSERT INTO OPERACE (operace_id, nazev, popis, filtr, kod, poradi) VALUES (43,'Kontrola zaplněných otvorů','zaplnované otvory',';;;;O.;;4A;6A;8A;10A;12A;4B;6B;8B;10B;12B;;;','',52); END IF; END $$;</v>
      </c>
    </row>
    <row r="55" spans="1:29" ht="14.45" customHeight="1" x14ac:dyDescent="0.25">
      <c r="A55" s="62" t="s">
        <v>139</v>
      </c>
      <c r="B55">
        <v>53</v>
      </c>
      <c r="C55">
        <v>16</v>
      </c>
      <c r="D55">
        <v>2001</v>
      </c>
      <c r="E55" s="2" t="s">
        <v>3</v>
      </c>
      <c r="F55" s="38"/>
      <c r="G55" s="38"/>
      <c r="L55" s="18" t="s">
        <v>55</v>
      </c>
      <c r="M55" s="18" t="s">
        <v>56</v>
      </c>
      <c r="N55" s="18" t="s">
        <v>62</v>
      </c>
      <c r="O55" s="18" t="s">
        <v>63</v>
      </c>
      <c r="P55" s="18" t="s">
        <v>64</v>
      </c>
      <c r="Q55" s="18" t="s">
        <v>65</v>
      </c>
      <c r="R55" s="18" t="s">
        <v>66</v>
      </c>
      <c r="S55" s="18" t="s">
        <v>67</v>
      </c>
      <c r="T55" s="18" t="s">
        <v>68</v>
      </c>
      <c r="U55" s="18" t="s">
        <v>69</v>
      </c>
      <c r="V55" s="18" t="s">
        <v>70</v>
      </c>
      <c r="W55" s="18" t="s">
        <v>71</v>
      </c>
      <c r="X55" s="18" t="s">
        <v>72</v>
      </c>
      <c r="AB55" t="str">
        <f t="shared" si="1"/>
        <v>;;;J.;O.;N.;4A;6A;8A;10A;12A;4B;6B;8B;10B;12B;;;</v>
      </c>
      <c r="AC55" t="str">
        <f t="shared" si="0"/>
        <v>do $$ begin IF EXISTS (SELECT 1 FROM operace WHERE operace_id = 2001) THEN update operace set kod = '', nazev = 'Vrtání', popis = '', filtr = ';;;J.;O.;N.;4A;6A;8A;10A;12A;4B;6B;8B;10B;12B;;;', poradi = 53 where operace_id = 2001; ELSE INSERT INTO OPERACE (operace_id, nazev, popis, filtr, kod, poradi) VALUES (2001,'Vrtání','',';;;J.;O.;N.;4A;6A;8A;10A;12A;4B;6B;8B;10B;12B;;;','',53); END IF; END $$;</v>
      </c>
    </row>
    <row r="56" spans="1:29" x14ac:dyDescent="0.25">
      <c r="A56" s="62"/>
      <c r="B56">
        <v>54</v>
      </c>
      <c r="C56">
        <v>17</v>
      </c>
      <c r="D56">
        <v>2002</v>
      </c>
      <c r="E56" s="10" t="s">
        <v>84</v>
      </c>
      <c r="F56" s="36"/>
      <c r="G56" s="36"/>
      <c r="H56" t="s">
        <v>156</v>
      </c>
      <c r="L56" s="18" t="s">
        <v>55</v>
      </c>
      <c r="M56" s="18" t="s">
        <v>56</v>
      </c>
      <c r="N56" s="18" t="s">
        <v>62</v>
      </c>
      <c r="O56" s="18" t="s">
        <v>63</v>
      </c>
      <c r="P56" s="18" t="s">
        <v>64</v>
      </c>
      <c r="Q56" s="18" t="s">
        <v>65</v>
      </c>
      <c r="R56" s="18" t="s">
        <v>66</v>
      </c>
      <c r="S56" s="18" t="s">
        <v>67</v>
      </c>
      <c r="T56" s="18" t="s">
        <v>68</v>
      </c>
      <c r="U56" s="18" t="s">
        <v>69</v>
      </c>
      <c r="V56" s="18" t="s">
        <v>70</v>
      </c>
      <c r="W56" s="18" t="s">
        <v>71</v>
      </c>
      <c r="X56" s="18" t="s">
        <v>72</v>
      </c>
      <c r="AB56" t="str">
        <f t="shared" si="1"/>
        <v>;;;J.;O.;N.;4A;6A;8A;10A;12A;4B;6B;8B;10B;12B;;;</v>
      </c>
      <c r="AC56" t="str">
        <f t="shared" si="0"/>
        <v>do $$ begin IF EXISTS (SELECT 1 FROM operace WHERE operace_id = 2002) THEN update operace set kod = '', nazev = 'Vrtání s parametry Arlon', popis = 'Arlon, Roger, Duroid, Diclad, ', filtr = ';;;J.;O.;N.;4A;6A;8A;10A;12A;4B;6B;8B;10B;12B;;;', poradi = 54 where operace_id = 2002; ELSE INSERT INTO OPERACE (operace_id, nazev, popis, filtr, kod, poradi) VALUES (2002,'Vrtání s parametry Arlon','Arlon, Roger, Duroid, Diclad, ',';;;J.;O.;N.;4A;6A;8A;10A;12A;4B;6B;8B;10B;12B;;;','',54); END IF; END $$;</v>
      </c>
    </row>
    <row r="57" spans="1:29" x14ac:dyDescent="0.25">
      <c r="A57" s="62"/>
      <c r="B57">
        <v>55</v>
      </c>
      <c r="C57">
        <v>907</v>
      </c>
      <c r="D57">
        <v>2003</v>
      </c>
      <c r="E57" s="10" t="s">
        <v>137</v>
      </c>
      <c r="F57" s="36"/>
      <c r="G57" s="36"/>
      <c r="H57" t="s">
        <v>141</v>
      </c>
      <c r="L57" s="18" t="s">
        <v>55</v>
      </c>
      <c r="M57" s="18" t="s">
        <v>56</v>
      </c>
      <c r="N57" s="18" t="s">
        <v>62</v>
      </c>
      <c r="O57" s="18" t="s">
        <v>63</v>
      </c>
      <c r="P57" s="18" t="s">
        <v>64</v>
      </c>
      <c r="Q57" s="18" t="s">
        <v>65</v>
      </c>
      <c r="R57" s="18" t="s">
        <v>66</v>
      </c>
      <c r="S57" s="18" t="s">
        <v>67</v>
      </c>
      <c r="T57" s="18" t="s">
        <v>68</v>
      </c>
      <c r="U57" s="18" t="s">
        <v>69</v>
      </c>
      <c r="V57" s="18" t="s">
        <v>70</v>
      </c>
      <c r="W57" s="18" t="s">
        <v>71</v>
      </c>
      <c r="X57" s="18" t="s">
        <v>72</v>
      </c>
      <c r="AB57" t="str">
        <f t="shared" si="1"/>
        <v>;;;J.;O.;N.;4A;6A;8A;10A;12A;4B;6B;8B;10B;12B;;;</v>
      </c>
      <c r="AC57" t="str">
        <f t="shared" si="0"/>
        <v>do $$ begin IF EXISTS (SELECT 1 FROM operace WHERE operace_id = 2003) THEN update operace set kod = '', nazev = 'Vrtání s parametry IS620', popis = 'IS620, zaplnovane otvory', filtr = ';;;J.;O.;N.;4A;6A;8A;10A;12A;4B;6B;8B;10B;12B;;;', poradi = 55 where operace_id = 2003; ELSE INSERT INTO OPERACE (operace_id, nazev, popis, filtr, kod, poradi) VALUES (2003,'Vrtání s parametry IS620','IS620, zaplnovane otvory',';;;J.;O.;N.;4A;6A;8A;10A;12A;4B;6B;8B;10B;12B;;;','',55); END IF; END $$;</v>
      </c>
    </row>
    <row r="58" spans="1:29" x14ac:dyDescent="0.25">
      <c r="A58" s="62"/>
      <c r="B58">
        <v>56</v>
      </c>
      <c r="C58">
        <v>19</v>
      </c>
      <c r="D58">
        <v>2004</v>
      </c>
      <c r="E58" s="1" t="s">
        <v>335</v>
      </c>
      <c r="F58" s="35"/>
      <c r="G58" s="35"/>
      <c r="H58" t="s">
        <v>142</v>
      </c>
      <c r="L58" s="18"/>
      <c r="M58" s="18"/>
      <c r="N58" s="18"/>
      <c r="O58" s="18" t="s">
        <v>63</v>
      </c>
      <c r="P58" s="18" t="s">
        <v>64</v>
      </c>
      <c r="Q58" s="18" t="s">
        <v>65</v>
      </c>
      <c r="R58" s="18" t="s">
        <v>66</v>
      </c>
      <c r="S58" s="18" t="s">
        <v>67</v>
      </c>
      <c r="T58" s="18" t="s">
        <v>68</v>
      </c>
      <c r="U58" s="18" t="s">
        <v>69</v>
      </c>
      <c r="V58" s="18" t="s">
        <v>70</v>
      </c>
      <c r="W58" s="18" t="s">
        <v>71</v>
      </c>
      <c r="X58" s="18" t="s">
        <v>72</v>
      </c>
      <c r="AB58" t="str">
        <f t="shared" si="1"/>
        <v>;;;;;;4A;6A;8A;10A;12A;4B;6B;8B;10B;12B;;;</v>
      </c>
      <c r="AC58" t="str">
        <f t="shared" si="0"/>
        <v>do $$ begin IF EXISTS (SELECT 1 FROM operace WHERE operace_id = 2004) THEN update operace set kod = '', nazev = 'Vrtání se slepými otvory - strana A', popis = 'slepé otvory ze str. A, zaplnovane', filtr = ';;;;;;4A;6A;8A;10A;12A;4B;6B;8B;10B;12B;;;', poradi = 56 where operace_id = 2004; ELSE INSERT INTO OPERACE (operace_id, nazev, popis, filtr, kod, poradi) VALUES (2004,'Vrtání se slepými otvory - strana A','slepé otvory ze str. A, zaplnovane',';;;;;;4A;6A;8A;10A;12A;4B;6B;8B;10B;12B;;;','',56); END IF; END $$;</v>
      </c>
    </row>
    <row r="59" spans="1:29" x14ac:dyDescent="0.25">
      <c r="A59" s="62"/>
      <c r="B59">
        <v>57</v>
      </c>
      <c r="C59">
        <v>20</v>
      </c>
      <c r="D59">
        <v>2005</v>
      </c>
      <c r="E59" s="1" t="s">
        <v>336</v>
      </c>
      <c r="F59" s="35"/>
      <c r="G59" s="35"/>
      <c r="H59" t="s">
        <v>143</v>
      </c>
      <c r="L59" s="18"/>
      <c r="M59" s="18"/>
      <c r="N59" s="18"/>
      <c r="O59" s="18" t="s">
        <v>63</v>
      </c>
      <c r="P59" s="18" t="s">
        <v>64</v>
      </c>
      <c r="Q59" s="18" t="s">
        <v>65</v>
      </c>
      <c r="R59" s="18" t="s">
        <v>66</v>
      </c>
      <c r="S59" s="18" t="s">
        <v>67</v>
      </c>
      <c r="T59" s="18" t="s">
        <v>68</v>
      </c>
      <c r="U59" s="18" t="s">
        <v>69</v>
      </c>
      <c r="V59" s="18" t="s">
        <v>70</v>
      </c>
      <c r="W59" s="18" t="s">
        <v>71</v>
      </c>
      <c r="X59" s="18" t="s">
        <v>72</v>
      </c>
      <c r="AB59" t="str">
        <f t="shared" si="1"/>
        <v>;;;;;;4A;6A;8A;10A;12A;4B;6B;8B;10B;12B;;;</v>
      </c>
      <c r="AC59" t="str">
        <f t="shared" si="0"/>
        <v>do $$ begin IF EXISTS (SELECT 1 FROM operace WHERE operace_id = 2005) THEN update operace set kod = '', nazev = 'Vrtání se slepými otvory - strana Z', popis = 'slepé otvory ze str. Z, zaplnovane', filtr = ';;;;;;4A;6A;8A;10A;12A;4B;6B;8B;10B;12B;;;', poradi = 57 where operace_id = 2005; ELSE INSERT INTO OPERACE (operace_id, nazev, popis, filtr, kod, poradi) VALUES (2005,'Vrtání se slepými otvory - strana Z','slepé otvory ze str. Z, zaplnovane',';;;;;;4A;6A;8A;10A;12A;4B;6B;8B;10B;12B;;;','',57); END IF; END $$;</v>
      </c>
    </row>
    <row r="60" spans="1:29" x14ac:dyDescent="0.25">
      <c r="A60" s="62"/>
      <c r="B60">
        <v>58</v>
      </c>
      <c r="C60">
        <v>21</v>
      </c>
      <c r="D60">
        <v>2006</v>
      </c>
      <c r="E60" s="1" t="s">
        <v>13</v>
      </c>
      <c r="F60" s="35"/>
      <c r="G60" s="35"/>
      <c r="H60" t="s">
        <v>266</v>
      </c>
      <c r="O60" s="18" t="s">
        <v>63</v>
      </c>
      <c r="P60" s="18" t="s">
        <v>64</v>
      </c>
      <c r="Q60" s="18" t="s">
        <v>65</v>
      </c>
      <c r="R60" s="18" t="s">
        <v>66</v>
      </c>
      <c r="S60" s="18" t="s">
        <v>67</v>
      </c>
      <c r="T60" s="18" t="s">
        <v>68</v>
      </c>
      <c r="U60" s="18" t="s">
        <v>69</v>
      </c>
      <c r="V60" s="18" t="s">
        <v>70</v>
      </c>
      <c r="W60" s="18" t="s">
        <v>71</v>
      </c>
      <c r="X60" s="18" t="s">
        <v>72</v>
      </c>
      <c r="AB60" t="str">
        <f t="shared" si="1"/>
        <v>;;;;;;4A;6A;8A;10A;12A;4B;6B;8B;10B;12B;;;</v>
      </c>
      <c r="AC60" t="str">
        <f t="shared" si="0"/>
        <v>do $$ begin IF EXISTS (SELECT 1 FROM operace WHERE operace_id = 2006) THEN update operace set kod = '', nazev = 'Vrtani se slepými otvory oboustranne', popis = 'Arlon, Roger, Duroid, Diclad, slepé otvory oboustranně, zaplnovane', filtr = ';;;;;;4A;6A;8A;10A;12A;4B;6B;8B;10B;12B;;;', poradi = 58 where operace_id = 2006; ELSE INSERT INTO OPERACE (operace_id, nazev, popis, filtr, kod, poradi) VALUES (2006,'Vrtani se slepými otvory oboustranne','Arlon, Roger, Duroid, Diclad, slepé otvory oboustranně, zaplnovane',';;;;;;4A;6A;8A;10A;12A;4B;6B;8B;10B;12B;;;','',58); END IF; END $$;</v>
      </c>
    </row>
    <row r="61" spans="1:29" x14ac:dyDescent="0.25">
      <c r="A61" s="62"/>
      <c r="B61">
        <v>59</v>
      </c>
      <c r="C61">
        <v>22</v>
      </c>
      <c r="D61">
        <v>2007</v>
      </c>
      <c r="E61" s="9" t="s">
        <v>14</v>
      </c>
      <c r="F61" s="39"/>
      <c r="G61" s="39"/>
      <c r="H61" t="s">
        <v>144</v>
      </c>
      <c r="K61" s="4"/>
      <c r="L61" s="18" t="s">
        <v>55</v>
      </c>
      <c r="M61" s="18" t="s">
        <v>56</v>
      </c>
      <c r="N61" s="18" t="s">
        <v>62</v>
      </c>
      <c r="O61" s="18" t="s">
        <v>63</v>
      </c>
      <c r="P61" s="18" t="s">
        <v>64</v>
      </c>
      <c r="Q61" s="18" t="s">
        <v>65</v>
      </c>
      <c r="R61" s="18" t="s">
        <v>66</v>
      </c>
      <c r="S61" s="18" t="s">
        <v>67</v>
      </c>
      <c r="T61" s="18" t="s">
        <v>68</v>
      </c>
      <c r="U61" s="18" t="s">
        <v>69</v>
      </c>
      <c r="V61" s="18" t="s">
        <v>70</v>
      </c>
      <c r="W61" s="18" t="s">
        <v>71</v>
      </c>
      <c r="X61" s="18" t="s">
        <v>72</v>
      </c>
      <c r="AB61" t="str">
        <f t="shared" si="1"/>
        <v>;;;J.;O.;N.;4A;6A;8A;10A;12A;4B;6B;8B;10B;12B;;;</v>
      </c>
      <c r="AC61" t="str">
        <f t="shared" si="0"/>
        <v>do $$ begin IF EXISTS (SELECT 1 FROM operace WHERE operace_id = 2007) THEN update operace set kod = '', nazev = 'Profuk otvorů tlakovým vzduchem', popis = ' pro otvory ≤ 0,25 mm, zaplnovane', filtr = ';;;J.;O.;N.;4A;6A;8A;10A;12A;4B;6B;8B;10B;12B;;;', poradi = 59 where operace_id = 2007; ELSE INSERT INTO OPERACE (operace_id, nazev, popis, filtr, kod, poradi) VALUES (2007,'Profuk otvorů tlakovým vzduchem',' pro otvory ≤ 0,25 mm, zaplnovane',';;;J.;O.;N.;4A;6A;8A;10A;12A;4B;6B;8B;10B;12B;;;','',59); END IF; END $$;</v>
      </c>
    </row>
    <row r="62" spans="1:29" x14ac:dyDescent="0.25">
      <c r="A62" s="62"/>
      <c r="B62">
        <v>60</v>
      </c>
      <c r="C62">
        <v>904</v>
      </c>
      <c r="D62">
        <v>2008</v>
      </c>
      <c r="E62" s="12" t="s">
        <v>205</v>
      </c>
      <c r="F62" s="40"/>
      <c r="G62" s="40"/>
      <c r="H62" s="22"/>
      <c r="I62" s="22"/>
      <c r="J62" s="22"/>
      <c r="K62" s="23"/>
      <c r="L62" s="24"/>
      <c r="M62" s="24" t="s">
        <v>56</v>
      </c>
      <c r="N62" s="24"/>
      <c r="O62" s="24" t="s">
        <v>63</v>
      </c>
      <c r="P62" s="18" t="s">
        <v>64</v>
      </c>
      <c r="Q62" s="18" t="s">
        <v>65</v>
      </c>
      <c r="R62" s="18" t="s">
        <v>66</v>
      </c>
      <c r="S62" s="18" t="s">
        <v>67</v>
      </c>
      <c r="T62" s="18" t="s">
        <v>68</v>
      </c>
      <c r="U62" s="18" t="s">
        <v>69</v>
      </c>
      <c r="V62" s="18" t="s">
        <v>70</v>
      </c>
      <c r="W62" s="18" t="s">
        <v>71</v>
      </c>
      <c r="X62" s="18" t="s">
        <v>72</v>
      </c>
      <c r="AB62" t="str">
        <f t="shared" si="1"/>
        <v>;;;;O.;;4A;6A;8A;10A;12A;4B;6B;8B;10B;12B;;;</v>
      </c>
      <c r="AC62" t="str">
        <f t="shared" si="0"/>
        <v>do $$ begin IF EXISTS (SELECT 1 FROM operace WHERE operace_id = 2008) THEN update operace set kod = '', nazev = 'Vrtání + frézování prokovené', popis = '', filtr = ';;;;O.;;4A;6A;8A;10A;12A;4B;6B;8B;10B;12B;;;', poradi = 60 where operace_id = 2008; ELSE INSERT INTO OPERACE (operace_id, nazev, popis, filtr, kod, poradi) VALUES (2008,'Vrtání + frézování prokovené','',';;;;O.;;4A;6A;8A;10A;12A;4B;6B;8B;10B;12B;;;','',60); END IF; END $$;</v>
      </c>
    </row>
    <row r="63" spans="1:29" x14ac:dyDescent="0.25">
      <c r="A63" s="61"/>
      <c r="B63">
        <v>61</v>
      </c>
      <c r="C63">
        <v>25</v>
      </c>
      <c r="D63">
        <v>2015</v>
      </c>
      <c r="E63" s="2" t="s">
        <v>329</v>
      </c>
      <c r="F63" s="38"/>
      <c r="G63" s="38"/>
      <c r="K63" s="4"/>
      <c r="L63" s="4"/>
      <c r="M63" s="4" t="s">
        <v>56</v>
      </c>
      <c r="N63" s="4" t="s">
        <v>62</v>
      </c>
      <c r="O63" s="4" t="s">
        <v>63</v>
      </c>
      <c r="P63" s="4" t="s">
        <v>64</v>
      </c>
      <c r="Q63" s="4" t="s">
        <v>65</v>
      </c>
      <c r="R63" s="4" t="s">
        <v>66</v>
      </c>
      <c r="S63" s="4" t="s">
        <v>67</v>
      </c>
      <c r="T63" s="4" t="s">
        <v>68</v>
      </c>
      <c r="U63" s="4" t="s">
        <v>69</v>
      </c>
      <c r="V63" s="4" t="s">
        <v>70</v>
      </c>
      <c r="W63" s="4" t="s">
        <v>71</v>
      </c>
      <c r="X63" s="4" t="s">
        <v>72</v>
      </c>
      <c r="AB63" t="str">
        <f t="shared" si="1"/>
        <v>;;;;O.;N.;4A;6A;8A;10A;12A;4B;6B;8B;10B;12B;;;</v>
      </c>
      <c r="AC63" t="str">
        <f t="shared" si="0"/>
        <v>do $$ begin IF EXISTS (SELECT 1 FROM operace WHERE operace_id = 2015) THEN update operace set kod = '', nazev = 'Kartáčování', popis = '', filtr = ';;;;O.;N.;4A;6A;8A;10A;12A;4B;6B;8B;10B;12B;;;', poradi = 61 where operace_id = 2015; ELSE INSERT INTO OPERACE (operace_id, nazev, popis, filtr, kod, poradi) VALUES (2015,'Kartáčování','',';;;;O.;N.;4A;6A;8A;10A;12A;4B;6B;8B;10B;12B;;;','',61); END IF; END $$;</v>
      </c>
    </row>
    <row r="64" spans="1:29" x14ac:dyDescent="0.25">
      <c r="A64" s="61"/>
      <c r="B64">
        <v>62</v>
      </c>
      <c r="C64">
        <v>29</v>
      </c>
      <c r="D64">
        <v>2013</v>
      </c>
      <c r="E64" s="14" t="s">
        <v>91</v>
      </c>
      <c r="F64" s="41"/>
      <c r="G64" s="41"/>
      <c r="H64" t="s">
        <v>94</v>
      </c>
      <c r="K64" s="4"/>
      <c r="L64" s="4"/>
      <c r="M64" s="4" t="s">
        <v>56</v>
      </c>
      <c r="N64" s="4"/>
      <c r="O64" s="4" t="s">
        <v>63</v>
      </c>
      <c r="P64" s="4" t="s">
        <v>64</v>
      </c>
      <c r="Q64" s="4" t="s">
        <v>65</v>
      </c>
      <c r="R64" s="4" t="s">
        <v>66</v>
      </c>
      <c r="S64" s="4" t="s">
        <v>67</v>
      </c>
      <c r="T64" s="4" t="s">
        <v>68</v>
      </c>
      <c r="U64" s="4" t="s">
        <v>69</v>
      </c>
      <c r="V64" s="4" t="s">
        <v>70</v>
      </c>
      <c r="W64" s="4" t="s">
        <v>71</v>
      </c>
      <c r="X64" s="4" t="s">
        <v>72</v>
      </c>
      <c r="AB64" t="str">
        <f t="shared" si="1"/>
        <v>;;;;O.;;4A;6A;8A;10A;12A;4B;6B;8B;10B;12B;;;</v>
      </c>
      <c r="AC64" t="str">
        <f t="shared" si="0"/>
        <v>do $$ begin IF EXISTS (SELECT 1 FROM operace WHERE operace_id = 2013) THEN update operace set kod = '', nazev = 'Čištění v ultrazvukové myčce 10 min', popis = ' pro otvory ≥ 0,40 mm', filtr = ';;;;O.;;4A;6A;8A;10A;12A;4B;6B;8B;10B;12B;;;', poradi = 62 where operace_id = 2013; ELSE INSERT INTO OPERACE (operace_id, nazev, popis, filtr, kod, poradi) VALUES (2013,'Čištění v ultrazvukové myčce 10 min',' pro otvory ≥ 0,40 mm',';;;;O.;;4A;6A;8A;10A;12A;4B;6B;8B;10B;12B;;;','',62); END IF; END $$;</v>
      </c>
    </row>
    <row r="65" spans="1:29" x14ac:dyDescent="0.25">
      <c r="A65" s="61"/>
      <c r="B65">
        <v>63</v>
      </c>
      <c r="C65">
        <v>30</v>
      </c>
      <c r="D65">
        <v>2014</v>
      </c>
      <c r="E65" s="14" t="s">
        <v>92</v>
      </c>
      <c r="F65" s="41"/>
      <c r="G65" s="41"/>
      <c r="H65" t="s">
        <v>93</v>
      </c>
      <c r="M65" s="4" t="s">
        <v>56</v>
      </c>
      <c r="O65" s="4" t="s">
        <v>63</v>
      </c>
      <c r="P65" s="4" t="s">
        <v>64</v>
      </c>
      <c r="Q65" s="4" t="s">
        <v>65</v>
      </c>
      <c r="R65" s="4" t="s">
        <v>66</v>
      </c>
      <c r="S65" s="4" t="s">
        <v>67</v>
      </c>
      <c r="T65" s="4" t="s">
        <v>68</v>
      </c>
      <c r="U65" s="4" t="s">
        <v>69</v>
      </c>
      <c r="V65" s="4" t="s">
        <v>70</v>
      </c>
      <c r="W65" s="4" t="s">
        <v>71</v>
      </c>
      <c r="X65" s="4" t="s">
        <v>72</v>
      </c>
      <c r="AB65" t="str">
        <f t="shared" si="1"/>
        <v>;;;;O.;;4A;6A;8A;10A;12A;4B;6B;8B;10B;12B;;;</v>
      </c>
      <c r="AC65" t="str">
        <f t="shared" si="0"/>
        <v>do $$ begin IF EXISTS (SELECT 1 FROM operace WHERE operace_id = 2014) THEN update operace set kod = '', nazev = 'Čištění v ultrazvukové myčce 30 min', popis = ' pro otvory ≤ 0,35 mm', filtr = ';;;;O.;;4A;6A;8A;10A;12A;4B;6B;8B;10B;12B;;;', poradi = 63 where operace_id = 2014; ELSE INSERT INTO OPERACE (operace_id, nazev, popis, filtr, kod, poradi) VALUES (2014,'Čištění v ultrazvukové myčce 30 min',' pro otvory ≤ 0,35 mm',';;;;O.;;4A;6A;8A;10A;12A;4B;6B;8B;10B;12B;;;','',63); END IF; END $$;</v>
      </c>
    </row>
    <row r="66" spans="1:29" x14ac:dyDescent="0.25">
      <c r="A66" s="62"/>
      <c r="B66">
        <v>64</v>
      </c>
      <c r="C66">
        <v>31</v>
      </c>
      <c r="D66">
        <v>2009</v>
      </c>
      <c r="E66" s="1" t="s">
        <v>16</v>
      </c>
      <c r="F66" s="35"/>
      <c r="G66" s="35"/>
      <c r="M66" s="4" t="s">
        <v>56</v>
      </c>
      <c r="O66" s="4" t="s">
        <v>63</v>
      </c>
      <c r="P66" s="4" t="s">
        <v>64</v>
      </c>
      <c r="Q66" s="4" t="s">
        <v>65</v>
      </c>
      <c r="R66" s="4" t="s">
        <v>66</v>
      </c>
      <c r="S66" s="4" t="s">
        <v>67</v>
      </c>
      <c r="T66" s="4" t="s">
        <v>68</v>
      </c>
      <c r="U66" s="4" t="s">
        <v>69</v>
      </c>
      <c r="V66" s="4" t="s">
        <v>70</v>
      </c>
      <c r="W66" s="4" t="s">
        <v>71</v>
      </c>
      <c r="X66" s="4" t="s">
        <v>72</v>
      </c>
      <c r="AB66" t="str">
        <f t="shared" si="1"/>
        <v>;;;;O.;;4A;6A;8A;10A;12A;4B;6B;8B;10B;12B;;;</v>
      </c>
      <c r="AC66" t="str">
        <f t="shared" si="0"/>
        <v>do $$ begin IF EXISTS (SELECT 1 FROM operace WHERE operace_id = 2009) THEN update operace set kod = '', nazev = 'NEOPACT-standardní', popis = '', filtr = ';;;;O.;;4A;6A;8A;10A;12A;4B;6B;8B;10B;12B;;;', poradi = 64 where operace_id = 2009; ELSE INSERT INTO OPERACE (operace_id, nazev, popis, filtr, kod, poradi) VALUES (2009,'NEOPACT-standardní','',';;;;O.;;4A;6A;8A;10A;12A;4B;6B;8B;10B;12B;;;','',64); END IF; END $$;</v>
      </c>
    </row>
    <row r="67" spans="1:29" x14ac:dyDescent="0.25">
      <c r="A67" s="62"/>
      <c r="B67">
        <v>65</v>
      </c>
      <c r="C67">
        <v>32</v>
      </c>
      <c r="D67">
        <v>2010</v>
      </c>
      <c r="E67" s="1" t="s">
        <v>17</v>
      </c>
      <c r="F67" s="35"/>
      <c r="G67" s="35"/>
      <c r="H67" s="26" t="s">
        <v>103</v>
      </c>
      <c r="I67" s="26"/>
      <c r="J67" s="26"/>
      <c r="M67" s="4" t="s">
        <v>56</v>
      </c>
      <c r="O67" s="4" t="s">
        <v>63</v>
      </c>
      <c r="P67" s="4" t="s">
        <v>64</v>
      </c>
      <c r="Q67" s="4" t="s">
        <v>65</v>
      </c>
      <c r="R67" s="4" t="s">
        <v>66</v>
      </c>
      <c r="S67" s="4" t="s">
        <v>67</v>
      </c>
      <c r="T67" s="4" t="s">
        <v>68</v>
      </c>
      <c r="U67" s="4" t="s">
        <v>69</v>
      </c>
      <c r="V67" s="4" t="s">
        <v>70</v>
      </c>
      <c r="W67" s="4" t="s">
        <v>71</v>
      </c>
      <c r="X67" s="4" t="s">
        <v>72</v>
      </c>
      <c r="AB67" t="str">
        <f t="shared" si="1"/>
        <v>;;;;O.;;4A;6A;8A;10A;12A;4B;6B;8B;10B;12B;;;</v>
      </c>
      <c r="AC67" t="str">
        <f t="shared" ref="AC67:AC130" si="2">CONCATENATE($AC$1,D67,") THEN update operace set kod = '",F67,"', nazev = '",E67,"', popis = '",H67,"', filtr = '",AB67,"', poradi = ",B67," where operace_id = ",D67,"; ELSE INSERT INTO OPERACE (operace_id, nazev, popis, filtr, kod, poradi) VALUES (", D67,",'",E67,"','",H67,"','",AB67,"','",F67,"',",B67,"); END IF; END $$;" )</f>
        <v>do $$ begin IF EXISTS (SELECT 1 FROM operace WHERE operace_id = 2010) THEN update operace set kod = '', nazev = 'NEOPACT-2x = prg 1 + 7', popis = ' pro otvory ≤ 0,30 mm,Roger 4003 C, 3010, 3250B, zaplnované otvory', filtr = ';;;;O.;;4A;6A;8A;10A;12A;4B;6B;8B;10B;12B;;;', poradi = 65 where operace_id = 2010; ELSE INSERT INTO OPERACE (operace_id, nazev, popis, filtr, kod, poradi) VALUES (2010,'NEOPACT-2x = prg 1 + 7',' pro otvory ≤ 0,30 mm,Roger 4003 C, 3010, 3250B, zaplnované otvory',';;;;O.;;4A;6A;8A;10A;12A;4B;6B;8B;10B;12B;;;','',65); END IF; END $$;</v>
      </c>
    </row>
    <row r="68" spans="1:29" x14ac:dyDescent="0.25">
      <c r="A68" s="62"/>
      <c r="B68">
        <v>66</v>
      </c>
      <c r="C68">
        <v>33</v>
      </c>
      <c r="D68">
        <v>2011</v>
      </c>
      <c r="E68" s="1" t="s">
        <v>95</v>
      </c>
      <c r="F68" s="35"/>
      <c r="G68" s="35"/>
      <c r="H68" t="s">
        <v>98</v>
      </c>
      <c r="M68" s="4" t="s">
        <v>56</v>
      </c>
      <c r="O68" s="4" t="s">
        <v>63</v>
      </c>
      <c r="P68" s="4" t="s">
        <v>64</v>
      </c>
      <c r="Q68" s="4" t="s">
        <v>65</v>
      </c>
      <c r="R68" s="4" t="s">
        <v>66</v>
      </c>
      <c r="S68" s="4" t="s">
        <v>67</v>
      </c>
      <c r="T68" s="4" t="s">
        <v>68</v>
      </c>
      <c r="U68" s="4" t="s">
        <v>69</v>
      </c>
      <c r="V68" s="4" t="s">
        <v>70</v>
      </c>
      <c r="W68" s="4" t="s">
        <v>71</v>
      </c>
      <c r="X68" s="4" t="s">
        <v>72</v>
      </c>
      <c r="AB68" t="str">
        <f t="shared" si="1"/>
        <v>;;;;O.;;4A;6A;8A;10A;12A;4B;6B;8B;10B;12B;;;</v>
      </c>
      <c r="AC68" t="str">
        <f t="shared" si="2"/>
        <v>do $$ begin IF EXISTS (SELECT 1 FROM operace WHERE operace_id = 2011) THEN update operace set kod = '', nazev = 'NEOPACT-3x = prg 1+7+7', popis = 'pro Arlony, Diclad', filtr = ';;;;O.;;4A;6A;8A;10A;12A;4B;6B;8B;10B;12B;;;', poradi = 66 where operace_id = 2011; ELSE INSERT INTO OPERACE (operace_id, nazev, popis, filtr, kod, poradi) VALUES (2011,'NEOPACT-3x = prg 1+7+7','pro Arlony, Diclad',';;;;O.;;4A;6A;8A;10A;12A;4B;6B;8B;10B;12B;;;','',66); END IF; END $$;</v>
      </c>
    </row>
    <row r="69" spans="1:29" x14ac:dyDescent="0.25">
      <c r="A69" s="62"/>
      <c r="B69">
        <v>67</v>
      </c>
      <c r="C69">
        <v>34</v>
      </c>
      <c r="D69">
        <v>2012</v>
      </c>
      <c r="E69" s="14" t="s">
        <v>96</v>
      </c>
      <c r="F69" s="41"/>
      <c r="G69" s="41"/>
      <c r="H69" t="s">
        <v>97</v>
      </c>
      <c r="M69" s="4" t="s">
        <v>56</v>
      </c>
      <c r="O69" s="4" t="s">
        <v>63</v>
      </c>
      <c r="P69" s="4" t="s">
        <v>64</v>
      </c>
      <c r="Q69" s="4" t="s">
        <v>65</v>
      </c>
      <c r="R69" s="4" t="s">
        <v>66</v>
      </c>
      <c r="S69" s="4" t="s">
        <v>67</v>
      </c>
      <c r="T69" s="4" t="s">
        <v>68</v>
      </c>
      <c r="U69" s="4" t="s">
        <v>69</v>
      </c>
      <c r="V69" s="4" t="s">
        <v>70</v>
      </c>
      <c r="W69" s="4" t="s">
        <v>71</v>
      </c>
      <c r="X69" s="4" t="s">
        <v>72</v>
      </c>
      <c r="AB69" t="str">
        <f t="shared" si="1"/>
        <v>;;;;O.;;4A;6A;8A;10A;12A;4B;6B;8B;10B;12B;;;</v>
      </c>
      <c r="AC69" t="str">
        <f t="shared" si="2"/>
        <v>do $$ begin IF EXISTS (SELECT 1 FROM operace WHERE operace_id = 2012) THEN update operace set kod = '', nazev = 'NEOPACT-4x = prg 1+1+1+1', popis = 'pro duroid 5880', filtr = ';;;;O.;;4A;6A;8A;10A;12A;4B;6B;8B;10B;12B;;;', poradi = 67 where operace_id = 2012; ELSE INSERT INTO OPERACE (operace_id, nazev, popis, filtr, kod, poradi) VALUES (2012,'NEOPACT-4x = prg 1+1+1+1','pro duroid 5880',';;;;O.;;4A;6A;8A;10A;12A;4B;6B;8B;10B;12B;;;','',67); END IF; END $$;</v>
      </c>
    </row>
    <row r="70" spans="1:29" x14ac:dyDescent="0.25">
      <c r="A70" s="61"/>
      <c r="B70">
        <v>68</v>
      </c>
      <c r="D70">
        <v>46</v>
      </c>
      <c r="E70" s="2" t="s">
        <v>5</v>
      </c>
      <c r="F70" s="38"/>
      <c r="G70" s="38"/>
      <c r="M70" s="4" t="s">
        <v>56</v>
      </c>
      <c r="O70" s="4" t="s">
        <v>63</v>
      </c>
      <c r="P70" s="4" t="s">
        <v>64</v>
      </c>
      <c r="Q70" s="4" t="s">
        <v>65</v>
      </c>
      <c r="R70" s="4" t="s">
        <v>66</v>
      </c>
      <c r="S70" s="4" t="s">
        <v>67</v>
      </c>
      <c r="T70" s="4" t="s">
        <v>68</v>
      </c>
      <c r="U70" s="4" t="s">
        <v>69</v>
      </c>
      <c r="V70" s="4" t="s">
        <v>70</v>
      </c>
      <c r="W70" s="4" t="s">
        <v>71</v>
      </c>
      <c r="X70" s="4" t="s">
        <v>72</v>
      </c>
      <c r="AB70" t="str">
        <f t="shared" ref="AB70:AB133" si="3">CONCATENATE(I70,";",J70,";",K70,";",L70,";",M70,";",N70,";",O70,";",P70,";",Q70,";",R70,";",S70,";",T70,";",U70,";",V70,";",W70,";",X70,";",Y70,";",Z70,";",AA70)</f>
        <v>;;;;O.;;4A;6A;8A;10A;12A;4B;6B;8B;10B;12B;;;</v>
      </c>
      <c r="AC70" t="str">
        <f t="shared" si="2"/>
        <v>do $$ begin IF EXISTS (SELECT 1 FROM operace WHERE operace_id = 46) THEN update operace set kod = '', nazev = 'Mikrozaleptání (MEB)', popis = '', filtr = ';;;;O.;;4A;6A;8A;10A;12A;4B;6B;8B;10B;12B;;;', poradi = 68 where operace_id = 46; ELSE INSERT INTO OPERACE (operace_id, nazev, popis, filtr, kod, poradi) VALUES (46,'Mikrozaleptání (MEB)','',';;;;O.;;4A;6A;8A;10A;12A;4B;6B;8B;10B;12B;;;','',68); END IF; END $$;</v>
      </c>
    </row>
    <row r="71" spans="1:29" x14ac:dyDescent="0.25">
      <c r="A71" s="61"/>
      <c r="B71">
        <v>69</v>
      </c>
      <c r="D71">
        <v>47</v>
      </c>
      <c r="E71" s="2" t="s">
        <v>107</v>
      </c>
      <c r="F71" s="38"/>
      <c r="G71" s="38"/>
      <c r="H71" t="s">
        <v>108</v>
      </c>
      <c r="M71" s="4" t="s">
        <v>56</v>
      </c>
      <c r="O71" s="4" t="s">
        <v>63</v>
      </c>
      <c r="P71" s="4" t="s">
        <v>64</v>
      </c>
      <c r="Q71" s="4" t="s">
        <v>65</v>
      </c>
      <c r="R71" s="4" t="s">
        <v>66</v>
      </c>
      <c r="S71" s="4" t="s">
        <v>67</v>
      </c>
      <c r="T71" s="4" t="s">
        <v>68</v>
      </c>
      <c r="U71" s="4" t="s">
        <v>69</v>
      </c>
      <c r="V71" s="4" t="s">
        <v>70</v>
      </c>
      <c r="W71" s="4" t="s">
        <v>71</v>
      </c>
      <c r="X71" s="4" t="s">
        <v>72</v>
      </c>
      <c r="AB71" t="str">
        <f t="shared" si="3"/>
        <v>;;;;O.;;4A;6A;8A;10A;12A;4B;6B;8B;10B;12B;;;</v>
      </c>
      <c r="AC71" t="str">
        <f t="shared" si="2"/>
        <v>do $$ begin IF EXISTS (SELECT 1 FROM operace WHERE operace_id = 47) THEN update operace set kod = '', nazev = 'Mikrozaleptání (MEB) 3,0 m/min', popis = 'Duroid, Arlon, Diclad', filtr = ';;;;O.;;4A;6A;8A;10A;12A;4B;6B;8B;10B;12B;;;', poradi = 69 where operace_id = 47; ELSE INSERT INTO OPERACE (operace_id, nazev, popis, filtr, kod, poradi) VALUES (47,'Mikrozaleptání (MEB) 3,0 m/min','Duroid, Arlon, Diclad',';;;;O.;;4A;6A;8A;10A;12A;4B;6B;8B;10B;12B;;;','',69); END IF; END $$;</v>
      </c>
    </row>
    <row r="72" spans="1:29" x14ac:dyDescent="0.25">
      <c r="A72" s="61"/>
      <c r="B72">
        <v>70</v>
      </c>
      <c r="D72">
        <v>48</v>
      </c>
      <c r="E72" s="10" t="s">
        <v>329</v>
      </c>
      <c r="F72" s="36"/>
      <c r="G72" s="36"/>
      <c r="H72" t="s">
        <v>109</v>
      </c>
      <c r="M72" s="4" t="s">
        <v>56</v>
      </c>
      <c r="O72" s="4" t="s">
        <v>63</v>
      </c>
      <c r="P72" s="4" t="s">
        <v>64</v>
      </c>
      <c r="Q72" s="4" t="s">
        <v>65</v>
      </c>
      <c r="R72" s="4" t="s">
        <v>66</v>
      </c>
      <c r="S72" s="4" t="s">
        <v>67</v>
      </c>
      <c r="T72" s="4" t="s">
        <v>68</v>
      </c>
      <c r="U72" s="4" t="s">
        <v>69</v>
      </c>
      <c r="V72" s="4" t="s">
        <v>70</v>
      </c>
      <c r="W72" s="4" t="s">
        <v>71</v>
      </c>
      <c r="X72" s="4" t="s">
        <v>72</v>
      </c>
      <c r="AB72" t="str">
        <f t="shared" si="3"/>
        <v>;;;;O.;;4A;6A;8A;10A;12A;4B;6B;8B;10B;12B;;;</v>
      </c>
      <c r="AC72" t="str">
        <f t="shared" si="2"/>
        <v>do $$ begin IF EXISTS (SELECT 1 FROM operace WHERE operace_id = 48) THEN update operace set kod = '', nazev = 'Kartáčování', popis = 'Dps se slepými otvory', filtr = ';;;;O.;;4A;6A;8A;10A;12A;4B;6B;8B;10B;12B;;;', poradi = 70 where operace_id = 48; ELSE INSERT INTO OPERACE (operace_id, nazev, popis, filtr, kod, poradi) VALUES (48,'Kartáčování','Dps se slepými otvory',';;;;O.;;4A;6A;8A;10A;12A;4B;6B;8B;10B;12B;;;','',70); END IF; END $$;</v>
      </c>
    </row>
    <row r="73" spans="1:29" x14ac:dyDescent="0.25">
      <c r="B73">
        <v>1</v>
      </c>
      <c r="D73">
        <v>3002</v>
      </c>
      <c r="E73" t="s">
        <v>219</v>
      </c>
      <c r="M73" s="4" t="s">
        <v>56</v>
      </c>
      <c r="O73" s="4"/>
      <c r="AB73" t="str">
        <f t="shared" si="3"/>
        <v>;;;;O.;;;;;;;;;;;;;;</v>
      </c>
      <c r="AC73" t="str">
        <f t="shared" si="2"/>
        <v>do $$ begin IF EXISTS (SELECT 1 FROM operace WHERE operace_id = 3002) THEN update operace set kod = '', nazev = 'Kontrola filmů', popis = '', filtr = ';;;;O.;;;;;;;;;;;;;;', poradi = 1 where operace_id = 3002; ELSE INSERT INTO OPERACE (operace_id, nazev, popis, filtr, kod, poradi) VALUES (3002,'Kontrola filmů','',';;;;O.;;;;;;;;;;;;;;','',1); END IF; END $$;</v>
      </c>
    </row>
    <row r="74" spans="1:29" x14ac:dyDescent="0.25">
      <c r="A74" s="61"/>
      <c r="B74">
        <v>71</v>
      </c>
      <c r="D74">
        <v>49</v>
      </c>
      <c r="E74" s="2" t="s">
        <v>18</v>
      </c>
      <c r="F74" s="38"/>
      <c r="G74" s="38"/>
      <c r="H74" t="s">
        <v>146</v>
      </c>
      <c r="J74" t="s">
        <v>58</v>
      </c>
      <c r="K74" s="4" t="s">
        <v>57</v>
      </c>
      <c r="L74" s="4" t="s">
        <v>55</v>
      </c>
      <c r="M74" s="4" t="s">
        <v>56</v>
      </c>
      <c r="N74" s="4" t="s">
        <v>62</v>
      </c>
      <c r="O74" s="4" t="s">
        <v>63</v>
      </c>
      <c r="P74" s="4" t="s">
        <v>64</v>
      </c>
      <c r="Q74" s="4" t="s">
        <v>65</v>
      </c>
      <c r="R74" s="4" t="s">
        <v>66</v>
      </c>
      <c r="S74" s="4" t="s">
        <v>67</v>
      </c>
      <c r="T74" s="4" t="s">
        <v>68</v>
      </c>
      <c r="U74" s="4" t="s">
        <v>69</v>
      </c>
      <c r="V74" s="4" t="s">
        <v>70</v>
      </c>
      <c r="W74" s="4" t="s">
        <v>71</v>
      </c>
      <c r="X74" s="4" t="s">
        <v>72</v>
      </c>
      <c r="Y74" s="4"/>
      <c r="Z74" s="4"/>
      <c r="AA74" s="4"/>
      <c r="AB74" t="str">
        <f t="shared" si="3"/>
        <v>;S.;J0;J.;O.;N.;4A;6A;8A;10A;12A;4B;6B;8B;10B;12B;;;</v>
      </c>
      <c r="AC74" t="str">
        <f t="shared" si="2"/>
        <v>do $$ begin IF EXISTS (SELECT 1 FROM operace WHERE operace_id = 49) THEN update operace set kod = '', nazev = 'Navalení fotorezistu', popis = 'vylouceni 50', filtr = ';S.;J0;J.;O.;N.;4A;6A;8A;10A;12A;4B;6B;8B;10B;12B;;;', poradi = 71 where operace_id = 49; ELSE INSERT INTO OPERACE (operace_id, nazev, popis, filtr, kod, poradi) VALUES (49,'Navalení fotorezistu','vylouceni 50',';S.;J0;J.;O.;N.;4A;6A;8A;10A;12A;4B;6B;8B;10B;12B;;;','',71); END IF; END $$;</v>
      </c>
    </row>
    <row r="75" spans="1:29" x14ac:dyDescent="0.25">
      <c r="A75" s="61"/>
      <c r="B75">
        <v>72</v>
      </c>
      <c r="D75">
        <v>50</v>
      </c>
      <c r="E75" s="14" t="s">
        <v>110</v>
      </c>
      <c r="F75" s="41"/>
      <c r="G75" s="41"/>
      <c r="H75" t="s">
        <v>111</v>
      </c>
      <c r="K75" s="4" t="s">
        <v>57</v>
      </c>
      <c r="L75" s="4" t="s">
        <v>55</v>
      </c>
      <c r="M75" s="4" t="s">
        <v>56</v>
      </c>
      <c r="N75" s="4" t="s">
        <v>62</v>
      </c>
      <c r="O75" s="4" t="s">
        <v>63</v>
      </c>
      <c r="P75" s="4" t="s">
        <v>64</v>
      </c>
      <c r="Q75" s="4" t="s">
        <v>65</v>
      </c>
      <c r="R75" s="4" t="s">
        <v>66</v>
      </c>
      <c r="S75" s="4" t="s">
        <v>67</v>
      </c>
      <c r="T75" s="4" t="s">
        <v>68</v>
      </c>
      <c r="U75" s="4" t="s">
        <v>69</v>
      </c>
      <c r="V75" s="4" t="s">
        <v>70</v>
      </c>
      <c r="W75" s="4" t="s">
        <v>71</v>
      </c>
      <c r="X75" s="4" t="s">
        <v>72</v>
      </c>
      <c r="AB75" t="str">
        <f t="shared" si="3"/>
        <v>;;J0;J.;O.;N.;4A;6A;8A;10A;12A;4B;6B;8B;10B;12B;;;</v>
      </c>
      <c r="AC75" t="str">
        <f t="shared" si="2"/>
        <v>do $$ begin IF EXISTS (SELECT 1 FROM operace WHERE operace_id = 50) THEN update operace set kod = '', nazev = 'Navalení fotorezistu typu MM !!! celoplošné galv. zlacení', popis = 'celoplošné galvanické zlacení', filtr = ';;J0;J.;O.;N.;4A;6A;8A;10A;12A;4B;6B;8B;10B;12B;;;', poradi = 72 where operace_id = 50; ELSE INSERT INTO OPERACE (operace_id, nazev, popis, filtr, kod, poradi) VALUES (50,'Navalení fotorezistu typu MM !!! celoplošné galv. zlacení','celoplošné galvanické zlacení',';;J0;J.;O.;N.;4A;6A;8A;10A;12A;4B;6B;8B;10B;12B;;;','',72); END IF; END $$;</v>
      </c>
    </row>
    <row r="76" spans="1:29" x14ac:dyDescent="0.25">
      <c r="A76" s="61"/>
      <c r="B76">
        <v>73</v>
      </c>
      <c r="D76">
        <v>51</v>
      </c>
      <c r="E76" s="2" t="s">
        <v>6</v>
      </c>
      <c r="F76" s="38"/>
      <c r="G76" s="38"/>
      <c r="J76" t="s">
        <v>58</v>
      </c>
      <c r="K76" s="4" t="s">
        <v>57</v>
      </c>
      <c r="L76" s="4" t="s">
        <v>55</v>
      </c>
      <c r="M76" s="4" t="s">
        <v>56</v>
      </c>
      <c r="N76" s="4" t="s">
        <v>62</v>
      </c>
      <c r="O76" s="4" t="s">
        <v>63</v>
      </c>
      <c r="P76" s="4" t="s">
        <v>64</v>
      </c>
      <c r="Q76" s="4" t="s">
        <v>65</v>
      </c>
      <c r="R76" s="4" t="s">
        <v>66</v>
      </c>
      <c r="S76" s="4" t="s">
        <v>67</v>
      </c>
      <c r="T76" s="4" t="s">
        <v>68</v>
      </c>
      <c r="U76" s="4" t="s">
        <v>69</v>
      </c>
      <c r="V76" s="4" t="s">
        <v>70</v>
      </c>
      <c r="W76" s="4" t="s">
        <v>71</v>
      </c>
      <c r="X76" s="4" t="s">
        <v>72</v>
      </c>
      <c r="Y76" s="4"/>
      <c r="Z76" s="4"/>
      <c r="AA76" s="4"/>
      <c r="AB76" t="str">
        <f t="shared" si="3"/>
        <v>;S.;J0;J.;O.;N.;4A;6A;8A;10A;12A;4B;6B;8B;10B;12B;;;</v>
      </c>
      <c r="AC76" t="str">
        <f t="shared" si="2"/>
        <v>do $$ begin IF EXISTS (SELECT 1 FROM operace WHERE operace_id = 51) THEN update operace set kod = '', nazev = 'Vytvoření motivu', popis = '', filtr = ';S.;J0;J.;O.;N.;4A;6A;8A;10A;12A;4B;6B;8B;10B;12B;;;', poradi = 73 where operace_id = 51; ELSE INSERT INTO OPERACE (operace_id, nazev, popis, filtr, kod, poradi) VALUES (51,'Vytvoření motivu','',';S.;J0;J.;O.;N.;4A;6A;8A;10A;12A;4B;6B;8B;10B;12B;;;','',73); END IF; END $$;</v>
      </c>
    </row>
    <row r="77" spans="1:29" x14ac:dyDescent="0.25">
      <c r="A77" s="61"/>
      <c r="B77">
        <v>74</v>
      </c>
      <c r="D77">
        <v>52</v>
      </c>
      <c r="E77" s="2" t="s">
        <v>7</v>
      </c>
      <c r="F77" s="38"/>
      <c r="G77" s="38"/>
      <c r="K77" s="4" t="s">
        <v>57</v>
      </c>
      <c r="L77" s="4" t="s">
        <v>55</v>
      </c>
      <c r="M77" s="4" t="s">
        <v>56</v>
      </c>
      <c r="N77" s="4" t="s">
        <v>62</v>
      </c>
      <c r="O77" s="4" t="s">
        <v>63</v>
      </c>
      <c r="P77" s="4" t="s">
        <v>64</v>
      </c>
      <c r="Q77" s="4" t="s">
        <v>65</v>
      </c>
      <c r="R77" s="4" t="s">
        <v>66</v>
      </c>
      <c r="S77" s="4" t="s">
        <v>67</v>
      </c>
      <c r="T77" s="4" t="s">
        <v>68</v>
      </c>
      <c r="U77" s="4" t="s">
        <v>69</v>
      </c>
      <c r="V77" s="4" t="s">
        <v>70</v>
      </c>
      <c r="W77" s="4" t="s">
        <v>71</v>
      </c>
      <c r="X77" s="4" t="s">
        <v>72</v>
      </c>
      <c r="Y77" s="4"/>
      <c r="Z77" s="4"/>
      <c r="AA77" s="4"/>
      <c r="AB77" t="str">
        <f t="shared" si="3"/>
        <v>;;J0;J.;O.;N.;4A;6A;8A;10A;12A;4B;6B;8B;10B;12B;;;</v>
      </c>
      <c r="AC77" t="str">
        <f t="shared" si="2"/>
        <v>do $$ begin IF EXISTS (SELECT 1 FROM operace WHERE operace_id = 52) THEN update operace set kod = '', nazev = 'Kontrola a retuš motivu', popis = '', filtr = ';;J0;J.;O.;N.;4A;6A;8A;10A;12A;4B;6B;8B;10B;12B;;;', poradi = 74 where operace_id = 52; ELSE INSERT INTO OPERACE (operace_id, nazev, popis, filtr, kod, poradi) VALUES (52,'Kontrola a retuš motivu','',';;J0;J.;O.;N.;4A;6A;8A;10A;12A;4B;6B;8B;10B;12B;;;','',74); END IF; END $$;</v>
      </c>
    </row>
    <row r="78" spans="1:29" x14ac:dyDescent="0.25">
      <c r="A78" s="61"/>
      <c r="B78">
        <v>75</v>
      </c>
      <c r="D78">
        <v>53</v>
      </c>
      <c r="E78" s="1" t="s">
        <v>337</v>
      </c>
      <c r="F78" s="35"/>
      <c r="G78" s="35"/>
      <c r="J78" t="s">
        <v>58</v>
      </c>
      <c r="K78" s="4" t="s">
        <v>57</v>
      </c>
      <c r="L78" s="4" t="s">
        <v>55</v>
      </c>
      <c r="M78" s="4"/>
      <c r="N78" s="4" t="s">
        <v>62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t="str">
        <f t="shared" si="3"/>
        <v>;S.;J0;J.;;N.;;;;;;;;;;;;;</v>
      </c>
      <c r="AC78" t="str">
        <f t="shared" si="2"/>
        <v>do $$ begin IF EXISTS (SELECT 1 FROM operace WHERE operace_id = 53) THEN update operace set kod = '', nazev = 'Leptání (kyselé) + stripování rezistu  ', popis = '', filtr = ';S.;J0;J.;;N.;;;;;;;;;;;;;', poradi = 75 where operace_id = 53; ELSE INSERT INTO OPERACE (operace_id, nazev, popis, filtr, kod, poradi) VALUES (53,'Leptání (kyselé) + stripování rezistu  ','',';S.;J0;J.;;N.;;;;;;;;;;;;;','',75); END IF; END $$;</v>
      </c>
    </row>
    <row r="79" spans="1:29" x14ac:dyDescent="0.25">
      <c r="A79" s="61"/>
      <c r="B79">
        <v>76</v>
      </c>
      <c r="D79">
        <v>54</v>
      </c>
      <c r="E79" s="1" t="s">
        <v>338</v>
      </c>
      <c r="F79" s="35"/>
      <c r="G79" s="35"/>
      <c r="H79" t="s">
        <v>121</v>
      </c>
      <c r="K79" s="4"/>
      <c r="L79" s="4"/>
      <c r="M79" s="4" t="s">
        <v>56</v>
      </c>
      <c r="N79" s="4"/>
      <c r="O79" s="4" t="s">
        <v>63</v>
      </c>
      <c r="P79" s="4" t="s">
        <v>64</v>
      </c>
      <c r="Q79" s="4" t="s">
        <v>65</v>
      </c>
      <c r="R79" s="4" t="s">
        <v>66</v>
      </c>
      <c r="S79" s="4" t="s">
        <v>67</v>
      </c>
      <c r="T79" s="4" t="s">
        <v>68</v>
      </c>
      <c r="U79" s="4" t="s">
        <v>69</v>
      </c>
      <c r="V79" s="4" t="s">
        <v>70</v>
      </c>
      <c r="W79" s="4" t="s">
        <v>71</v>
      </c>
      <c r="X79" s="4" t="s">
        <v>72</v>
      </c>
      <c r="AB79" t="str">
        <f t="shared" si="3"/>
        <v>;;;;O.;;4A;6A;8A;10A;12A;4B;6B;8B;10B;12B;;;</v>
      </c>
      <c r="AC79" t="str">
        <f t="shared" si="2"/>
        <v>do $$ begin IF EXISTS (SELECT 1 FROM operace WHERE operace_id = 54) THEN update operace set kod = '', nazev = 'Volat technologa - úprava plochy', popis = 'první výroba, 6.,7.,8. k.t.', filtr = ';;;;O.;;4A;6A;8A;10A;12A;4B;6B;8B;10B;12B;;;', poradi = 76 where operace_id = 54; ELSE INSERT INTO OPERACE (operace_id, nazev, popis, filtr, kod, poradi) VALUES (54,'Volat technologa - úprava plochy','první výroba, 6.,7.,8. k.t.',';;;;O.;;4A;6A;8A;10A;12A;4B;6B;8B;10B;12B;;;','',76); END IF; END $$;</v>
      </c>
    </row>
    <row r="80" spans="1:29" x14ac:dyDescent="0.25">
      <c r="A80" s="61"/>
      <c r="B80">
        <v>77</v>
      </c>
      <c r="D80">
        <v>55</v>
      </c>
      <c r="E80" s="9" t="s">
        <v>186</v>
      </c>
      <c r="F80" s="39"/>
      <c r="G80" s="39"/>
      <c r="K80" s="4"/>
      <c r="L80" s="4"/>
      <c r="M80" s="4" t="s">
        <v>56</v>
      </c>
      <c r="N80" s="4"/>
      <c r="O80" s="4" t="s">
        <v>63</v>
      </c>
      <c r="P80" s="4" t="s">
        <v>64</v>
      </c>
      <c r="Q80" s="4" t="s">
        <v>65</v>
      </c>
      <c r="R80" s="4" t="s">
        <v>66</v>
      </c>
      <c r="S80" s="4" t="s">
        <v>67</v>
      </c>
      <c r="T80" s="4" t="s">
        <v>68</v>
      </c>
      <c r="U80" s="4" t="s">
        <v>69</v>
      </c>
      <c r="V80" s="4" t="s">
        <v>70</v>
      </c>
      <c r="W80" s="4" t="s">
        <v>71</v>
      </c>
      <c r="X80" s="4" t="s">
        <v>72</v>
      </c>
      <c r="AB80" t="str">
        <f t="shared" si="3"/>
        <v>;;;;O.;;4A;6A;8A;10A;12A;4B;6B;8B;10B;12B;;;</v>
      </c>
      <c r="AC80" t="str">
        <f t="shared" si="2"/>
        <v>do $$ begin IF EXISTS (SELECT 1 FROM operace WHERE operace_id = 55) THEN update operace set kod = '', nazev = 'Cu-Sn galvanické prokovení {param}', popis = '', filtr = ';;;;O.;;4A;6A;8A;10A;12A;4B;6B;8B;10B;12B;;;', poradi = 77 where operace_id = 55; ELSE INSERT INTO OPERACE (operace_id, nazev, popis, filtr, kod, poradi) VALUES (55,'Cu-Sn galvanické prokovení {param}','',';;;;O.;;4A;6A;8A;10A;12A;4B;6B;8B;10B;12B;;;','',77); END IF; END $$;</v>
      </c>
    </row>
    <row r="81" spans="1:29" x14ac:dyDescent="0.25">
      <c r="A81" s="61"/>
      <c r="B81">
        <v>78</v>
      </c>
      <c r="D81">
        <v>2108</v>
      </c>
      <c r="E81" s="9" t="s">
        <v>197</v>
      </c>
      <c r="F81" s="39"/>
      <c r="G81" s="39"/>
      <c r="H81" t="s">
        <v>198</v>
      </c>
      <c r="K81" s="4" t="s">
        <v>57</v>
      </c>
      <c r="L81" s="4" t="s">
        <v>55</v>
      </c>
      <c r="M81" s="4" t="s">
        <v>56</v>
      </c>
      <c r="N81" s="4" t="s">
        <v>62</v>
      </c>
      <c r="O81" s="4" t="s">
        <v>63</v>
      </c>
      <c r="P81" s="4" t="s">
        <v>64</v>
      </c>
      <c r="Q81" s="4" t="s">
        <v>65</v>
      </c>
      <c r="R81" s="4" t="s">
        <v>66</v>
      </c>
      <c r="S81" s="4" t="s">
        <v>67</v>
      </c>
      <c r="T81" s="4" t="s">
        <v>68</v>
      </c>
      <c r="U81" s="4" t="s">
        <v>69</v>
      </c>
      <c r="V81" s="4" t="s">
        <v>70</v>
      </c>
      <c r="W81" s="4" t="s">
        <v>71</v>
      </c>
      <c r="X81" s="4" t="s">
        <v>72</v>
      </c>
      <c r="AB81" t="str">
        <f t="shared" si="3"/>
        <v>;;J0;J.;O.;N.;4A;6A;8A;10A;12A;4B;6B;8B;10B;12B;;;</v>
      </c>
      <c r="AC81" t="str">
        <f t="shared" si="2"/>
        <v>do $$ begin IF EXISTS (SELECT 1 FROM operace WHERE operace_id = 2108) THEN update operace set kod = '', nazev = 'Kontrola narážecích konektorů', popis = 'narazeci konektroy', filtr = ';;J0;J.;O.;N.;4A;6A;8A;10A;12A;4B;6B;8B;10B;12B;;;', poradi = 78 where operace_id = 2108; ELSE INSERT INTO OPERACE (operace_id, nazev, popis, filtr, kod, poradi) VALUES (2108,'Kontrola narážecích konektorů','narazeci konektroy',';;J0;J.;O.;N.;4A;6A;8A;10A;12A;4B;6B;8B;10B;12B;;;','',78); END IF; END $$;</v>
      </c>
    </row>
    <row r="82" spans="1:29" x14ac:dyDescent="0.25">
      <c r="A82" s="61"/>
      <c r="B82">
        <v>79</v>
      </c>
      <c r="D82">
        <v>58</v>
      </c>
      <c r="E82" s="1" t="s">
        <v>79</v>
      </c>
      <c r="F82" s="35"/>
      <c r="G82" s="35"/>
      <c r="H82" t="s">
        <v>147</v>
      </c>
      <c r="K82" s="4"/>
      <c r="L82" s="4"/>
      <c r="M82" s="4" t="s">
        <v>56</v>
      </c>
      <c r="N82" s="4"/>
      <c r="O82" s="4" t="s">
        <v>63</v>
      </c>
      <c r="P82" s="4" t="s">
        <v>64</v>
      </c>
      <c r="Q82" s="4" t="s">
        <v>65</v>
      </c>
      <c r="R82" s="4" t="s">
        <v>66</v>
      </c>
      <c r="S82" s="4" t="s">
        <v>67</v>
      </c>
      <c r="T82" s="4" t="s">
        <v>68</v>
      </c>
      <c r="U82" s="4" t="s">
        <v>69</v>
      </c>
      <c r="V82" s="4" t="s">
        <v>70</v>
      </c>
      <c r="W82" s="4" t="s">
        <v>71</v>
      </c>
      <c r="X82" s="4" t="s">
        <v>72</v>
      </c>
      <c r="AB82" t="str">
        <f t="shared" si="3"/>
        <v>;;;;O.;;4A;6A;8A;10A;12A;4B;6B;8B;10B;12B;;;</v>
      </c>
      <c r="AC82" t="str">
        <f t="shared" si="2"/>
        <v>do $$ begin IF EXISTS (SELECT 1 FROM operace WHERE operace_id = 58) THEN update operace set kod = '', nazev = 'Stripování fotorezistu', popis = '!celoplošné galvanické zlacení', filtr = ';;;;O.;;4A;6A;8A;10A;12A;4B;6B;8B;10B;12B;;;', poradi = 79 where operace_id = 58; ELSE INSERT INTO OPERACE (operace_id, nazev, popis, filtr, kod, poradi) VALUES (58,'Stripování fotorezistu','!celoplošné galvanické zlacení',';;;;O.;;4A;6A;8A;10A;12A;4B;6B;8B;10B;12B;;;','',79); END IF; END $$;</v>
      </c>
    </row>
    <row r="83" spans="1:29" x14ac:dyDescent="0.25">
      <c r="A83" s="61"/>
      <c r="B83">
        <v>80</v>
      </c>
      <c r="D83">
        <v>59</v>
      </c>
      <c r="E83" s="1" t="s">
        <v>77</v>
      </c>
      <c r="F83" s="35"/>
      <c r="G83" s="35"/>
      <c r="H83" t="s">
        <v>148</v>
      </c>
      <c r="K83" s="4"/>
      <c r="L83" s="4"/>
      <c r="M83" s="4"/>
      <c r="N83" s="4"/>
      <c r="O83" s="4" t="s">
        <v>63</v>
      </c>
      <c r="P83" s="4" t="s">
        <v>64</v>
      </c>
      <c r="Q83" s="4" t="s">
        <v>65</v>
      </c>
      <c r="R83" s="4" t="s">
        <v>66</v>
      </c>
      <c r="S83" s="4" t="s">
        <v>67</v>
      </c>
      <c r="T83" s="4" t="s">
        <v>68</v>
      </c>
      <c r="U83" s="4" t="s">
        <v>69</v>
      </c>
      <c r="V83" s="4" t="s">
        <v>70</v>
      </c>
      <c r="W83" s="4" t="s">
        <v>71</v>
      </c>
      <c r="X83" s="4" t="s">
        <v>72</v>
      </c>
      <c r="AB83" t="str">
        <f t="shared" si="3"/>
        <v>;;;;;;4A;6A;8A;10A;12A;4B;6B;8B;10B;12B;;;</v>
      </c>
      <c r="AC83" t="str">
        <f t="shared" si="2"/>
        <v>do $$ begin IF EXISTS (SELECT 1 FROM operace WHERE operace_id = 59) THEN update operace set kod = '', nazev = 'Navalení fotoresistu pro krytí sl.otv. oboustranné ', popis = 'slepé otvory oboustranně, AR ˃ 0,8,!celoplošné galvanické zlacení', filtr = ';;;;;;4A;6A;8A;10A;12A;4B;6B;8B;10B;12B;;;', poradi = 80 where operace_id = 59; ELSE INSERT INTO OPERACE (operace_id, nazev, popis, filtr, kod, poradi) VALUES (59,'Navalení fotoresistu pro krytí sl.otv. oboustranné ','slepé otvory oboustranně, AR ˃ 0,8,!celoplošné galvanické zlacení',';;;;;;4A;6A;8A;10A;12A;4B;6B;8B;10B;12B;;;','',80); END IF; END $$;</v>
      </c>
    </row>
    <row r="84" spans="1:29" x14ac:dyDescent="0.25">
      <c r="A84" s="61"/>
      <c r="B84">
        <v>81</v>
      </c>
      <c r="D84">
        <v>60</v>
      </c>
      <c r="E84" s="1" t="s">
        <v>75</v>
      </c>
      <c r="F84" s="35"/>
      <c r="G84" s="35"/>
      <c r="H84" t="s">
        <v>149</v>
      </c>
      <c r="K84" s="4"/>
      <c r="L84" s="4"/>
      <c r="M84" s="4"/>
      <c r="N84" s="4"/>
      <c r="O84" s="4" t="s">
        <v>63</v>
      </c>
      <c r="P84" s="4" t="s">
        <v>64</v>
      </c>
      <c r="Q84" s="4" t="s">
        <v>65</v>
      </c>
      <c r="R84" s="4" t="s">
        <v>66</v>
      </c>
      <c r="S84" s="4" t="s">
        <v>67</v>
      </c>
      <c r="T84" s="4" t="s">
        <v>68</v>
      </c>
      <c r="U84" s="4" t="s">
        <v>69</v>
      </c>
      <c r="V84" s="4" t="s">
        <v>70</v>
      </c>
      <c r="W84" s="4" t="s">
        <v>71</v>
      </c>
      <c r="X84" s="4" t="s">
        <v>72</v>
      </c>
      <c r="AB84" t="str">
        <f t="shared" si="3"/>
        <v>;;;;;;4A;6A;8A;10A;12A;4B;6B;8B;10B;12B;;;</v>
      </c>
      <c r="AC84" t="str">
        <f t="shared" si="2"/>
        <v>do $$ begin IF EXISTS (SELECT 1 FROM operace WHERE operace_id = 60) THEN update operace set kod = '', nazev = 'Navalení fotoresistu pro krytí sl.otv. str. A', popis = 'slepé otvory ze str. A, AR ˃ 0,8, !celoplošné galvanické zlacení', filtr = ';;;;;;4A;6A;8A;10A;12A;4B;6B;8B;10B;12B;;;', poradi = 81 where operace_id = 60; ELSE INSERT INTO OPERACE (operace_id, nazev, popis, filtr, kod, poradi) VALUES (60,'Navalení fotoresistu pro krytí sl.otv. str. A','slepé otvory ze str. A, AR ˃ 0,8, !celoplošné galvanické zlacení',';;;;;;4A;6A;8A;10A;12A;4B;6B;8B;10B;12B;;;','',81); END IF; END $$;</v>
      </c>
    </row>
    <row r="85" spans="1:29" x14ac:dyDescent="0.25">
      <c r="A85" s="61"/>
      <c r="B85">
        <v>82</v>
      </c>
      <c r="D85">
        <v>61</v>
      </c>
      <c r="E85" s="1" t="s">
        <v>76</v>
      </c>
      <c r="F85" s="35"/>
      <c r="G85" s="35"/>
      <c r="H85" t="s">
        <v>150</v>
      </c>
      <c r="K85" s="4"/>
      <c r="L85" s="4"/>
      <c r="M85" s="4"/>
      <c r="N85" s="4"/>
      <c r="O85" s="4" t="s">
        <v>63</v>
      </c>
      <c r="P85" s="4" t="s">
        <v>64</v>
      </c>
      <c r="Q85" s="4" t="s">
        <v>65</v>
      </c>
      <c r="R85" s="4" t="s">
        <v>66</v>
      </c>
      <c r="S85" s="4" t="s">
        <v>67</v>
      </c>
      <c r="T85" s="4" t="s">
        <v>68</v>
      </c>
      <c r="U85" s="4" t="s">
        <v>69</v>
      </c>
      <c r="V85" s="4" t="s">
        <v>70</v>
      </c>
      <c r="W85" s="4" t="s">
        <v>71</v>
      </c>
      <c r="X85" s="4" t="s">
        <v>72</v>
      </c>
      <c r="AB85" t="str">
        <f t="shared" si="3"/>
        <v>;;;;;;4A;6A;8A;10A;12A;4B;6B;8B;10B;12B;;;</v>
      </c>
      <c r="AC85" t="str">
        <f t="shared" si="2"/>
        <v>do $$ begin IF EXISTS (SELECT 1 FROM operace WHERE operace_id = 61) THEN update operace set kod = '', nazev = 'Navalalení fotoresistu pro krytí sl.otv. str. Z', popis = 'slepé otvory ze str. Z, AR ˃ 0,8, !celoplošné galvanické zlacení', filtr = ';;;;;;4A;6A;8A;10A;12A;4B;6B;8B;10B;12B;;;', poradi = 82 where operace_id = 61; ELSE INSERT INTO OPERACE (operace_id, nazev, popis, filtr, kod, poradi) VALUES (61,'Navalalení fotoresistu pro krytí sl.otv. str. Z','slepé otvory ze str. Z, AR ˃ 0,8, !celoplošné galvanické zlacení',';;;;;;4A;6A;8A;10A;12A;4B;6B;8B;10B;12B;;;','',82); END IF; END $$;</v>
      </c>
    </row>
    <row r="86" spans="1:29" x14ac:dyDescent="0.25">
      <c r="A86" s="61"/>
      <c r="B86">
        <v>83</v>
      </c>
      <c r="D86">
        <v>62</v>
      </c>
      <c r="E86" s="1" t="s">
        <v>21</v>
      </c>
      <c r="F86" s="35"/>
      <c r="G86" s="35"/>
      <c r="H86" t="s">
        <v>151</v>
      </c>
      <c r="K86" s="4"/>
      <c r="L86" s="4"/>
      <c r="M86" s="4"/>
      <c r="N86" s="4"/>
      <c r="O86" s="4" t="s">
        <v>63</v>
      </c>
      <c r="P86" s="4" t="s">
        <v>64</v>
      </c>
      <c r="Q86" s="4" t="s">
        <v>65</v>
      </c>
      <c r="R86" s="4" t="s">
        <v>66</v>
      </c>
      <c r="S86" s="4" t="s">
        <v>67</v>
      </c>
      <c r="T86" s="4" t="s">
        <v>68</v>
      </c>
      <c r="U86" s="4" t="s">
        <v>69</v>
      </c>
      <c r="V86" s="4" t="s">
        <v>70</v>
      </c>
      <c r="W86" s="4" t="s">
        <v>71</v>
      </c>
      <c r="X86" s="4" t="s">
        <v>72</v>
      </c>
      <c r="AB86" t="str">
        <f t="shared" si="3"/>
        <v>;;;;;;4A;6A;8A;10A;12A;4B;6B;8B;10B;12B;;;</v>
      </c>
      <c r="AC86" t="str">
        <f t="shared" si="2"/>
        <v>do $$ begin IF EXISTS (SELECT 1 FROM operace WHERE operace_id = 62) THEN update operace set kod = '', nazev = 'Vytvoření motivu na sl.otv. oboustranně', popis = 'slepé otvory oboustranně, AR ˃ 0,8, !celoplošné galvanické zlacení', filtr = ';;;;;;4A;6A;8A;10A;12A;4B;6B;8B;10B;12B;;;', poradi = 83 where operace_id = 62; ELSE INSERT INTO OPERACE (operace_id, nazev, popis, filtr, kod, poradi) VALUES (62,'Vytvoření motivu na sl.otv. oboustranně','slepé otvory oboustranně, AR ˃ 0,8, !celoplošné galvanické zlacení',';;;;;;4A;6A;8A;10A;12A;4B;6B;8B;10B;12B;;;','',83); END IF; END $$;</v>
      </c>
    </row>
    <row r="87" spans="1:29" x14ac:dyDescent="0.25">
      <c r="A87" s="61"/>
      <c r="B87">
        <v>84</v>
      </c>
      <c r="D87">
        <v>63</v>
      </c>
      <c r="E87" s="1" t="s">
        <v>19</v>
      </c>
      <c r="F87" s="35"/>
      <c r="G87" s="35"/>
      <c r="H87" t="s">
        <v>149</v>
      </c>
      <c r="K87" s="4"/>
      <c r="L87" s="4"/>
      <c r="M87" s="4"/>
      <c r="N87" s="4"/>
      <c r="O87" s="4" t="s">
        <v>63</v>
      </c>
      <c r="P87" s="4" t="s">
        <v>64</v>
      </c>
      <c r="Q87" s="4" t="s">
        <v>65</v>
      </c>
      <c r="R87" s="4" t="s">
        <v>66</v>
      </c>
      <c r="S87" s="4" t="s">
        <v>67</v>
      </c>
      <c r="T87" s="4" t="s">
        <v>68</v>
      </c>
      <c r="U87" s="4" t="s">
        <v>69</v>
      </c>
      <c r="V87" s="4" t="s">
        <v>70</v>
      </c>
      <c r="W87" s="4" t="s">
        <v>71</v>
      </c>
      <c r="X87" s="4" t="s">
        <v>72</v>
      </c>
      <c r="AB87" t="str">
        <f t="shared" si="3"/>
        <v>;;;;;;4A;6A;8A;10A;12A;4B;6B;8B;10B;12B;;;</v>
      </c>
      <c r="AC87" t="str">
        <f t="shared" si="2"/>
        <v>do $$ begin IF EXISTS (SELECT 1 FROM operace WHERE operace_id = 63) THEN update operace set kod = '', nazev = 'Vytvoření motivu na sl.otvorech str. A', popis = 'slepé otvory ze str. A, AR ˃ 0,8, !celoplošné galvanické zlacení', filtr = ';;;;;;4A;6A;8A;10A;12A;4B;6B;8B;10B;12B;;;', poradi = 84 where operace_id = 63; ELSE INSERT INTO OPERACE (operace_id, nazev, popis, filtr, kod, poradi) VALUES (63,'Vytvoření motivu na sl.otvorech str. A','slepé otvory ze str. A, AR ˃ 0,8, !celoplošné galvanické zlacení',';;;;;;4A;6A;8A;10A;12A;4B;6B;8B;10B;12B;;;','',84); END IF; END $$;</v>
      </c>
    </row>
    <row r="88" spans="1:29" x14ac:dyDescent="0.25">
      <c r="A88" s="61"/>
      <c r="B88">
        <v>85</v>
      </c>
      <c r="D88">
        <v>64</v>
      </c>
      <c r="E88" s="1" t="s">
        <v>20</v>
      </c>
      <c r="F88" s="35"/>
      <c r="G88" s="35"/>
      <c r="H88" t="s">
        <v>150</v>
      </c>
      <c r="K88" s="4"/>
      <c r="L88" s="4"/>
      <c r="M88" s="4"/>
      <c r="N88" s="4"/>
      <c r="O88" s="4" t="s">
        <v>63</v>
      </c>
      <c r="P88" s="4" t="s">
        <v>64</v>
      </c>
      <c r="Q88" s="4" t="s">
        <v>65</v>
      </c>
      <c r="R88" s="4" t="s">
        <v>66</v>
      </c>
      <c r="S88" s="4" t="s">
        <v>67</v>
      </c>
      <c r="T88" s="4" t="s">
        <v>68</v>
      </c>
      <c r="U88" s="4" t="s">
        <v>69</v>
      </c>
      <c r="V88" s="4" t="s">
        <v>70</v>
      </c>
      <c r="W88" s="4" t="s">
        <v>71</v>
      </c>
      <c r="X88" s="4" t="s">
        <v>72</v>
      </c>
      <c r="AB88" t="str">
        <f t="shared" si="3"/>
        <v>;;;;;;4A;6A;8A;10A;12A;4B;6B;8B;10B;12B;;;</v>
      </c>
      <c r="AC88" t="str">
        <f t="shared" si="2"/>
        <v>do $$ begin IF EXISTS (SELECT 1 FROM operace WHERE operace_id = 64) THEN update operace set kod = '', nazev = 'Vytvoření motivu na sl.otvorech str. Z ', popis = 'slepé otvory ze str. Z, AR ˃ 0,8, !celoplošné galvanické zlacení', filtr = ';;;;;;4A;6A;8A;10A;12A;4B;6B;8B;10B;12B;;;', poradi = 85 where operace_id = 64; ELSE INSERT INTO OPERACE (operace_id, nazev, popis, filtr, kod, poradi) VALUES (64,'Vytvoření motivu na sl.otvorech str. Z ','slepé otvory ze str. Z, AR ˃ 0,8, !celoplošné galvanické zlacení',';;;;;;4A;6A;8A;10A;12A;4B;6B;8B;10B;12B;;;','',85); END IF; END $$;</v>
      </c>
    </row>
    <row r="89" spans="1:29" x14ac:dyDescent="0.25">
      <c r="A89" s="61"/>
      <c r="B89">
        <v>86</v>
      </c>
      <c r="D89">
        <v>65</v>
      </c>
      <c r="E89" s="1" t="s">
        <v>339</v>
      </c>
      <c r="F89" s="35"/>
      <c r="G89" s="35"/>
      <c r="H89" t="s">
        <v>152</v>
      </c>
      <c r="K89" s="4"/>
      <c r="L89" s="4"/>
      <c r="M89" s="4"/>
      <c r="N89" s="4"/>
      <c r="O89" s="4" t="s">
        <v>63</v>
      </c>
      <c r="P89" s="4" t="s">
        <v>64</v>
      </c>
      <c r="Q89" s="4" t="s">
        <v>65</v>
      </c>
      <c r="R89" s="4" t="s">
        <v>66</v>
      </c>
      <c r="S89" s="4" t="s">
        <v>67</v>
      </c>
      <c r="T89" s="4" t="s">
        <v>68</v>
      </c>
      <c r="U89" s="4" t="s">
        <v>69</v>
      </c>
      <c r="V89" s="4" t="s">
        <v>70</v>
      </c>
      <c r="W89" s="4" t="s">
        <v>71</v>
      </c>
      <c r="X89" s="4" t="s">
        <v>72</v>
      </c>
      <c r="AB89" t="str">
        <f t="shared" si="3"/>
        <v>;;;;;;4A;6A;8A;10A;12A;4B;6B;8B;10B;12B;;;</v>
      </c>
      <c r="AC89" t="str">
        <f t="shared" si="2"/>
        <v>do $$ begin IF EXISTS (SELECT 1 FROM operace WHERE operace_id = 65) THEN update operace set kod = '', nazev = 'Kontrola a retuš motivu slepých otvorů', popis = 'slepé otvory AR ˃ 0,8, !celoplošné galvanické zlacení', filtr = ';;;;;;4A;6A;8A;10A;12A;4B;6B;8B;10B;12B;;;', poradi = 86 where operace_id = 65; ELSE INSERT INTO OPERACE (operace_id, nazev, popis, filtr, kod, poradi) VALUES (65,'Kontrola a retuš motivu slepých otvorů','slepé otvory AR ˃ 0,8, !celoplošné galvanické zlacení',';;;;;;4A;6A;8A;10A;12A;4B;6B;8B;10B;12B;;;','',86); END IF; END $$;</v>
      </c>
    </row>
    <row r="90" spans="1:29" x14ac:dyDescent="0.25">
      <c r="A90" s="61"/>
      <c r="B90">
        <v>87</v>
      </c>
      <c r="D90">
        <v>66</v>
      </c>
      <c r="E90" s="1" t="s">
        <v>22</v>
      </c>
      <c r="F90" s="35"/>
      <c r="G90" s="35"/>
      <c r="H90" t="s">
        <v>147</v>
      </c>
      <c r="K90" s="4"/>
      <c r="L90" s="4"/>
      <c r="M90" s="4" t="s">
        <v>56</v>
      </c>
      <c r="N90" s="4"/>
      <c r="O90" s="4" t="s">
        <v>63</v>
      </c>
      <c r="P90" s="4" t="s">
        <v>64</v>
      </c>
      <c r="Q90" s="4" t="s">
        <v>65</v>
      </c>
      <c r="R90" s="4" t="s">
        <v>66</v>
      </c>
      <c r="S90" s="4" t="s">
        <v>67</v>
      </c>
      <c r="T90" s="4" t="s">
        <v>68</v>
      </c>
      <c r="U90" s="4" t="s">
        <v>69</v>
      </c>
      <c r="V90" s="4" t="s">
        <v>70</v>
      </c>
      <c r="W90" s="4" t="s">
        <v>71</v>
      </c>
      <c r="X90" s="4" t="s">
        <v>72</v>
      </c>
      <c r="AB90" t="str">
        <f t="shared" si="3"/>
        <v>;;;;O.;;4A;6A;8A;10A;12A;4B;6B;8B;10B;12B;;;</v>
      </c>
      <c r="AC90" t="str">
        <f t="shared" si="2"/>
        <v>do $$ begin IF EXISTS (SELECT 1 FROM operace WHERE operace_id = 66) THEN update operace set kod = '', nazev = 'Leptání alkalické ', popis = '!celoplošné galvanické zlacení', filtr = ';;;;O.;;4A;6A;8A;10A;12A;4B;6B;8B;10B;12B;;;', poradi = 87 where operace_id = 66; ELSE INSERT INTO OPERACE (operace_id, nazev, popis, filtr, kod, poradi) VALUES (66,'Leptání alkalické ','!celoplošné galvanické zlacení',';;;;O.;;4A;6A;8A;10A;12A;4B;6B;8B;10B;12B;;;','',87); END IF; END $$;</v>
      </c>
    </row>
    <row r="91" spans="1:29" x14ac:dyDescent="0.25">
      <c r="A91" s="61"/>
      <c r="B91">
        <v>88</v>
      </c>
      <c r="D91">
        <v>67</v>
      </c>
      <c r="E91" s="1" t="s">
        <v>23</v>
      </c>
      <c r="F91" s="35"/>
      <c r="G91" s="35"/>
      <c r="H91" t="s">
        <v>153</v>
      </c>
      <c r="K91" s="4"/>
      <c r="L91" s="4"/>
      <c r="M91" s="4" t="s">
        <v>56</v>
      </c>
      <c r="N91" s="4"/>
      <c r="O91" s="4" t="s">
        <v>63</v>
      </c>
      <c r="P91" s="4" t="s">
        <v>64</v>
      </c>
      <c r="Q91" s="4" t="s">
        <v>65</v>
      </c>
      <c r="R91" s="4" t="s">
        <v>66</v>
      </c>
      <c r="S91" s="4" t="s">
        <v>67</v>
      </c>
      <c r="T91" s="4" t="s">
        <v>68</v>
      </c>
      <c r="U91" s="4" t="s">
        <v>69</v>
      </c>
      <c r="V91" s="4" t="s">
        <v>70</v>
      </c>
      <c r="W91" s="4" t="s">
        <v>71</v>
      </c>
      <c r="X91" s="4" t="s">
        <v>72</v>
      </c>
      <c r="AB91" t="str">
        <f t="shared" si="3"/>
        <v>;;;;O.;;4A;6A;8A;10A;12A;4B;6B;8B;10B;12B;;;</v>
      </c>
      <c r="AC91" t="str">
        <f t="shared" si="2"/>
        <v>do $$ begin IF EXISTS (SELECT 1 FROM operace WHERE operace_id = 67) THEN update operace set kod = '', nazev = 'Leptání alkalické za asistence technologa ', popis = '8. k.t., zaplnovane otvory, !celoplošné galvanické zlacení', filtr = ';;;;O.;;4A;6A;8A;10A;12A;4B;6B;8B;10B;12B;;;', poradi = 88 where operace_id = 67; ELSE INSERT INTO OPERACE (operace_id, nazev, popis, filtr, kod, poradi) VALUES (67,'Leptání alkalické za asistence technologa ','8. k.t., zaplnovane otvory, !celoplošné galvanické zlacení',';;;;O.;;4A;6A;8A;10A;12A;4B;6B;8B;10B;12B;;;','',88); END IF; END $$;</v>
      </c>
    </row>
    <row r="92" spans="1:29" x14ac:dyDescent="0.25">
      <c r="A92" s="61"/>
      <c r="B92">
        <v>89</v>
      </c>
      <c r="D92">
        <v>68</v>
      </c>
      <c r="E92" s="1" t="s">
        <v>24</v>
      </c>
      <c r="F92" s="35"/>
      <c r="G92" s="35"/>
      <c r="H92" t="s">
        <v>154</v>
      </c>
      <c r="K92" s="4"/>
      <c r="L92" s="4"/>
      <c r="M92" s="4"/>
      <c r="N92" s="4"/>
      <c r="O92" s="4" t="s">
        <v>63</v>
      </c>
      <c r="P92" s="4" t="s">
        <v>64</v>
      </c>
      <c r="Q92" s="4" t="s">
        <v>65</v>
      </c>
      <c r="R92" s="4" t="s">
        <v>66</v>
      </c>
      <c r="S92" s="4" t="s">
        <v>67</v>
      </c>
      <c r="T92" s="4" t="s">
        <v>68</v>
      </c>
      <c r="U92" s="4" t="s">
        <v>69</v>
      </c>
      <c r="V92" s="4" t="s">
        <v>70</v>
      </c>
      <c r="W92" s="4" t="s">
        <v>71</v>
      </c>
      <c r="X92" s="4" t="s">
        <v>72</v>
      </c>
      <c r="AB92" t="str">
        <f t="shared" si="3"/>
        <v>;;;;;;4A;6A;8A;10A;12A;4B;6B;8B;10B;12B;;;</v>
      </c>
      <c r="AC92" t="str">
        <f t="shared" si="2"/>
        <v>do $$ begin IF EXISTS (SELECT 1 FROM operace WHERE operace_id = 68) THEN update operace set kod = '', nazev = 'Stripování rezistu slepých otvorů', popis = 'slepé otvory, AR ˃ 0,8, !celoplošné galvanické zlacení', filtr = ';;;;;;4A;6A;8A;10A;12A;4B;6B;8B;10B;12B;;;', poradi = 89 where operace_id = 68; ELSE INSERT INTO OPERACE (operace_id, nazev, popis, filtr, kod, poradi) VALUES (68,'Stripování rezistu slepých otvorů','slepé otvory, AR ˃ 0,8, !celoplošné galvanické zlacení',';;;;;;4A;6A;8A;10A;12A;4B;6B;8B;10B;12B;;;','',89); END IF; END $$;</v>
      </c>
    </row>
    <row r="93" spans="1:29" x14ac:dyDescent="0.25">
      <c r="A93" s="61"/>
      <c r="B93">
        <v>90</v>
      </c>
      <c r="D93">
        <v>69</v>
      </c>
      <c r="E93" s="1" t="s">
        <v>25</v>
      </c>
      <c r="F93" s="35"/>
      <c r="G93" s="35"/>
      <c r="H93" t="s">
        <v>147</v>
      </c>
      <c r="K93" s="4"/>
      <c r="L93" s="4"/>
      <c r="M93" s="4" t="s">
        <v>56</v>
      </c>
      <c r="N93" s="4"/>
      <c r="O93" s="4" t="s">
        <v>63</v>
      </c>
      <c r="P93" s="4" t="s">
        <v>64</v>
      </c>
      <c r="Q93" s="4" t="s">
        <v>65</v>
      </c>
      <c r="R93" s="4" t="s">
        <v>66</v>
      </c>
      <c r="S93" s="4" t="s">
        <v>67</v>
      </c>
      <c r="T93" s="4" t="s">
        <v>68</v>
      </c>
      <c r="U93" s="4" t="s">
        <v>69</v>
      </c>
      <c r="V93" s="4" t="s">
        <v>70</v>
      </c>
      <c r="W93" s="4" t="s">
        <v>71</v>
      </c>
      <c r="X93" s="4" t="s">
        <v>72</v>
      </c>
      <c r="AB93" t="str">
        <f t="shared" si="3"/>
        <v>;;;;O.;;4A;6A;8A;10A;12A;4B;6B;8B;10B;12B;;;</v>
      </c>
      <c r="AC93" t="str">
        <f t="shared" si="2"/>
        <v>do $$ begin IF EXISTS (SELECT 1 FROM operace WHERE operace_id = 69) THEN update operace set kod = '', nazev = 'Stripování Sn', popis = '!celoplošné galvanické zlacení', filtr = ';;;;O.;;4A;6A;8A;10A;12A;4B;6B;8B;10B;12B;;;', poradi = 90 where operace_id = 69; ELSE INSERT INTO OPERACE (operace_id, nazev, popis, filtr, kod, poradi) VALUES (69,'Stripování Sn','!celoplošné galvanické zlacení',';;;;O.;;4A;6A;8A;10A;12A;4B;6B;8B;10B;12B;;;','',90); END IF; END $$;</v>
      </c>
    </row>
    <row r="94" spans="1:29" x14ac:dyDescent="0.25">
      <c r="A94" s="61"/>
      <c r="B94">
        <v>91</v>
      </c>
      <c r="D94">
        <v>71</v>
      </c>
      <c r="E94" s="2" t="s">
        <v>107</v>
      </c>
      <c r="F94" s="38"/>
      <c r="G94" s="38"/>
      <c r="H94" t="s">
        <v>155</v>
      </c>
      <c r="K94" s="4"/>
      <c r="L94" s="4"/>
      <c r="M94" s="4" t="s">
        <v>56</v>
      </c>
      <c r="N94" s="4"/>
      <c r="O94" s="4" t="s">
        <v>63</v>
      </c>
      <c r="P94" s="4" t="s">
        <v>64</v>
      </c>
      <c r="Q94" s="4" t="s">
        <v>65</v>
      </c>
      <c r="R94" s="4" t="s">
        <v>66</v>
      </c>
      <c r="S94" s="4" t="s">
        <v>67</v>
      </c>
      <c r="T94" s="4" t="s">
        <v>68</v>
      </c>
      <c r="U94" s="4" t="s">
        <v>69</v>
      </c>
      <c r="V94" s="4" t="s">
        <v>70</v>
      </c>
      <c r="W94" s="4" t="s">
        <v>71</v>
      </c>
      <c r="X94" s="4" t="s">
        <v>72</v>
      </c>
      <c r="AB94" t="str">
        <f t="shared" si="3"/>
        <v>;;;;O.;;4A;6A;8A;10A;12A;4B;6B;8B;10B;12B;;;</v>
      </c>
      <c r="AC94" t="str">
        <f t="shared" si="2"/>
        <v>do $$ begin IF EXISTS (SELECT 1 FROM operace WHERE operace_id = 71) THEN update operace set kod = '', nazev = 'Mikrozaleptání (MEB) 3,0 m/min', popis = '7, 8, Duroid, Arlon, Diclad, Roger, !celoplošné galvanické zlacení', filtr = ';;;;O.;;4A;6A;8A;10A;12A;4B;6B;8B;10B;12B;;;', poradi = 91 where operace_id = 71; ELSE INSERT INTO OPERACE (operace_id, nazev, popis, filtr, kod, poradi) VALUES (71,'Mikrozaleptání (MEB) 3,0 m/min','7, 8, Duroid, Arlon, Diclad, Roger, !celoplošné galvanické zlacení',';;;;O.;;4A;6A;8A;10A;12A;4B;6B;8B;10B;12B;;;','',91); END IF; END $$;</v>
      </c>
    </row>
    <row r="95" spans="1:29" x14ac:dyDescent="0.25">
      <c r="A95" s="61"/>
      <c r="B95">
        <v>92</v>
      </c>
      <c r="D95">
        <v>72</v>
      </c>
      <c r="E95" s="1" t="s">
        <v>26</v>
      </c>
      <c r="F95" s="35"/>
      <c r="G95" s="35"/>
      <c r="H95" t="s">
        <v>147</v>
      </c>
      <c r="K95" s="4"/>
      <c r="L95" s="4"/>
      <c r="M95" s="4" t="s">
        <v>56</v>
      </c>
      <c r="N95" s="4"/>
      <c r="O95" s="4" t="s">
        <v>63</v>
      </c>
      <c r="P95" s="4" t="s">
        <v>64</v>
      </c>
      <c r="Q95" s="4" t="s">
        <v>65</v>
      </c>
      <c r="R95" s="4" t="s">
        <v>66</v>
      </c>
      <c r="S95" s="4" t="s">
        <v>67</v>
      </c>
      <c r="T95" s="4" t="s">
        <v>68</v>
      </c>
      <c r="U95" s="4" t="s">
        <v>69</v>
      </c>
      <c r="V95" s="4" t="s">
        <v>70</v>
      </c>
      <c r="W95" s="4" t="s">
        <v>71</v>
      </c>
      <c r="X95" s="4" t="s">
        <v>72</v>
      </c>
      <c r="AB95" t="str">
        <f t="shared" si="3"/>
        <v>;;;;O.;;4A;6A;8A;10A;12A;4B;6B;8B;10B;12B;;;</v>
      </c>
      <c r="AC95" t="str">
        <f t="shared" si="2"/>
        <v>do $$ begin IF EXISTS (SELECT 1 FROM operace WHERE operace_id = 72) THEN update operace set kod = '', nazev = 'Kartáčování po stripu Sn', popis = '!celoplošné galvanické zlacení', filtr = ';;;;O.;;4A;6A;8A;10A;12A;4B;6B;8B;10B;12B;;;', poradi = 92 where operace_id = 72; ELSE INSERT INTO OPERACE (operace_id, nazev, popis, filtr, kod, poradi) VALUES (72,'Kartáčování po stripu Sn','!celoplošné galvanické zlacení',';;;;O.;;4A;6A;8A;10A;12A;4B;6B;8B;10B;12B;;;','',92); END IF; END $$;</v>
      </c>
    </row>
    <row r="96" spans="1:29" x14ac:dyDescent="0.25">
      <c r="A96" s="61"/>
      <c r="B96">
        <v>93</v>
      </c>
      <c r="D96">
        <v>73</v>
      </c>
      <c r="E96" s="2" t="s">
        <v>329</v>
      </c>
      <c r="F96" s="38"/>
      <c r="G96" s="38"/>
      <c r="H96" t="s">
        <v>147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AB96" t="str">
        <f t="shared" si="3"/>
        <v>;;;;;;;;;;;;;;;;;;</v>
      </c>
      <c r="AC96" t="str">
        <f t="shared" si="2"/>
        <v>do $$ begin IF EXISTS (SELECT 1 FROM operace WHERE operace_id = 73) THEN update operace set kod = '', nazev = 'Kartáčování', popis = '!celoplošné galvanické zlacení', filtr = ';;;;;;;;;;;;;;;;;;', poradi = 93 where operace_id = 73; ELSE INSERT INTO OPERACE (operace_id, nazev, popis, filtr, kod, poradi) VALUES (73,'Kartáčování','!celoplošné galvanické zlacení',';;;;;;;;;;;;;;;;;;','',93); END IF; END $$;</v>
      </c>
    </row>
    <row r="97" spans="1:30" x14ac:dyDescent="0.25">
      <c r="A97" s="61"/>
      <c r="B97">
        <v>94</v>
      </c>
      <c r="D97">
        <v>74</v>
      </c>
      <c r="E97" s="1" t="s">
        <v>28</v>
      </c>
      <c r="F97" s="35"/>
      <c r="G97" s="35"/>
      <c r="H97" t="s">
        <v>147</v>
      </c>
      <c r="K97" s="4" t="s">
        <v>57</v>
      </c>
      <c r="L97" s="4" t="s">
        <v>55</v>
      </c>
      <c r="M97" s="4" t="s">
        <v>56</v>
      </c>
      <c r="N97" s="4" t="s">
        <v>62</v>
      </c>
      <c r="O97" s="4" t="s">
        <v>63</v>
      </c>
      <c r="P97" s="4" t="s">
        <v>64</v>
      </c>
      <c r="Q97" s="4" t="s">
        <v>65</v>
      </c>
      <c r="R97" s="4" t="s">
        <v>66</v>
      </c>
      <c r="S97" s="4" t="s">
        <v>67</v>
      </c>
      <c r="T97" s="4" t="s">
        <v>68</v>
      </c>
      <c r="U97" s="4" t="s">
        <v>69</v>
      </c>
      <c r="V97" s="4" t="s">
        <v>70</v>
      </c>
      <c r="W97" s="4" t="s">
        <v>71</v>
      </c>
      <c r="X97" s="4" t="s">
        <v>72</v>
      </c>
      <c r="Y97" s="4"/>
      <c r="Z97" s="4"/>
      <c r="AA97" s="4"/>
      <c r="AB97" t="str">
        <f t="shared" si="3"/>
        <v>;;J0;J.;O.;N.;4A;6A;8A;10A;12A;4B;6B;8B;10B;12B;;;</v>
      </c>
      <c r="AC97" t="str">
        <f t="shared" si="2"/>
        <v>do $$ begin IF EXISTS (SELECT 1 FROM operace WHERE operace_id = 74) THEN update operace set kod = '', nazev = 'Kontrola', popis = '!celoplošné galvanické zlacení', filtr = ';;J0;J.;O.;N.;4A;6A;8A;10A;12A;4B;6B;8B;10B;12B;;;', poradi = 94 where operace_id = 74; ELSE INSERT INTO OPERACE (operace_id, nazev, popis, filtr, kod, poradi) VALUES (74,'Kontrola','!celoplošné galvanické zlacení',';;J0;J.;O.;N.;4A;6A;8A;10A;12A;4B;6B;8B;10B;12B;;;','',94); END IF; END $$;</v>
      </c>
    </row>
    <row r="98" spans="1:30" x14ac:dyDescent="0.25">
      <c r="A98" s="61" t="s">
        <v>174</v>
      </c>
      <c r="B98">
        <v>95</v>
      </c>
      <c r="D98">
        <v>75</v>
      </c>
      <c r="E98" s="1" t="s">
        <v>27</v>
      </c>
      <c r="F98" s="35"/>
      <c r="G98" s="35"/>
      <c r="H98" t="s">
        <v>181</v>
      </c>
      <c r="K98" s="4" t="s">
        <v>57</v>
      </c>
      <c r="L98" s="4" t="s">
        <v>55</v>
      </c>
      <c r="M98" s="4" t="s">
        <v>56</v>
      </c>
      <c r="N98" s="4" t="s">
        <v>62</v>
      </c>
      <c r="O98" s="4" t="s">
        <v>63</v>
      </c>
      <c r="P98" s="4" t="s">
        <v>64</v>
      </c>
      <c r="Q98" s="4" t="s">
        <v>65</v>
      </c>
      <c r="R98" s="4" t="s">
        <v>66</v>
      </c>
      <c r="S98" s="4" t="s">
        <v>67</v>
      </c>
      <c r="T98" s="4" t="s">
        <v>68</v>
      </c>
      <c r="U98" s="4" t="s">
        <v>69</v>
      </c>
      <c r="V98" s="4" t="s">
        <v>70</v>
      </c>
      <c r="W98" s="4" t="s">
        <v>71</v>
      </c>
      <c r="X98" s="4" t="s">
        <v>72</v>
      </c>
      <c r="Y98" s="4"/>
      <c r="Z98" s="4"/>
      <c r="AA98" s="4"/>
      <c r="AB98" t="str">
        <f t="shared" si="3"/>
        <v>;;J0;J.;O.;N.;4A;6A;8A;10A;12A;4B;6B;8B;10B;12B;;;</v>
      </c>
      <c r="AC98" t="str">
        <f t="shared" si="2"/>
        <v>do $$ begin IF EXISTS (SELECT 1 FROM operace WHERE operace_id = 75) THEN update operace set kod = '', nazev = 'Optický test po stripu', popis = 'když zakaznik, Z, J1', filtr = ';;J0;J.;O.;N.;4A;6A;8A;10A;12A;4B;6B;8B;10B;12B;;;', poradi = 95 where operace_id = 75; ELSE INSERT INTO OPERACE (operace_id, nazev, popis, filtr, kod, poradi) VALUES (75,'Optický test po stripu','když zakaznik, Z, J1',';;J0;J.;O.;N.;4A;6A;8A;10A;12A;4B;6B;8B;10B;12B;;;','',95); END IF; END $$;</v>
      </c>
    </row>
    <row r="99" spans="1:30" x14ac:dyDescent="0.25">
      <c r="A99" s="61"/>
      <c r="B99">
        <v>96</v>
      </c>
      <c r="D99">
        <v>76</v>
      </c>
      <c r="E99" s="27" t="s">
        <v>134</v>
      </c>
      <c r="F99" s="35"/>
      <c r="G99" s="35"/>
      <c r="H99" t="s">
        <v>184</v>
      </c>
      <c r="K99" s="4"/>
      <c r="L99" s="4"/>
      <c r="M99" s="4"/>
      <c r="N99" s="4"/>
      <c r="O99" s="4" t="s">
        <v>63</v>
      </c>
      <c r="P99" s="4" t="s">
        <v>64</v>
      </c>
      <c r="Q99" s="4" t="s">
        <v>65</v>
      </c>
      <c r="R99" s="4" t="s">
        <v>66</v>
      </c>
      <c r="S99" s="4" t="s">
        <v>67</v>
      </c>
      <c r="T99" s="4" t="s">
        <v>68</v>
      </c>
      <c r="U99" s="4" t="s">
        <v>69</v>
      </c>
      <c r="V99" s="4" t="s">
        <v>70</v>
      </c>
      <c r="W99" s="4" t="s">
        <v>71</v>
      </c>
      <c r="X99" s="4" t="s">
        <v>72</v>
      </c>
      <c r="AB99" t="str">
        <f t="shared" si="3"/>
        <v>;;;;;;4A;6A;8A;10A;12A;4B;6B;8B;10B;12B;;;</v>
      </c>
      <c r="AC99" t="str">
        <f t="shared" si="2"/>
        <v>do $$ begin IF EXISTS (SELECT 1 FROM operace WHERE operace_id = 76) THEN update operace set kod = '', nazev = 'Elektrický test', popis = 'nebude když je Z, J1 pokud zvoleno T, vyruší 75 a 7,8 kt, G', filtr = ';;;;;;4A;6A;8A;10A;12A;4B;6B;8B;10B;12B;;;', poradi = 96 where operace_id = 76; ELSE INSERT INTO OPERACE (operace_id, nazev, popis, filtr, kod, poradi) VALUES (76,'Elektrický test','nebude když je Z, J1 pokud zvoleno T, vyruší 75 a 7,8 kt, G',';;;;;;4A;6A;8A;10A;12A;4B;6B;8B;10B;12B;;;','',96); END IF; END $$;</v>
      </c>
    </row>
    <row r="100" spans="1:30" x14ac:dyDescent="0.25">
      <c r="A100" s="63" t="s">
        <v>157</v>
      </c>
      <c r="B100">
        <v>97</v>
      </c>
      <c r="C100" s="28"/>
      <c r="D100" s="28">
        <v>77</v>
      </c>
      <c r="E100" s="10" t="s">
        <v>329</v>
      </c>
      <c r="F100" s="44" t="s">
        <v>161</v>
      </c>
      <c r="G100" s="44"/>
      <c r="H100" s="28"/>
      <c r="I100" s="11"/>
      <c r="J100" s="11"/>
      <c r="K100" s="4"/>
      <c r="L100" s="4"/>
      <c r="M100" s="4" t="s">
        <v>56</v>
      </c>
      <c r="N100" s="4" t="s">
        <v>62</v>
      </c>
      <c r="O100" s="4" t="s">
        <v>63</v>
      </c>
      <c r="P100" s="4" t="s">
        <v>64</v>
      </c>
      <c r="Q100" s="4" t="s">
        <v>65</v>
      </c>
      <c r="R100" s="4" t="s">
        <v>66</v>
      </c>
      <c r="S100" s="4" t="s">
        <v>67</v>
      </c>
      <c r="T100" s="4" t="s">
        <v>68</v>
      </c>
      <c r="U100" s="4" t="s">
        <v>69</v>
      </c>
      <c r="V100" s="4" t="s">
        <v>70</v>
      </c>
      <c r="W100" s="4" t="s">
        <v>71</v>
      </c>
      <c r="X100" s="4" t="s">
        <v>72</v>
      </c>
      <c r="Y100" s="28" t="s">
        <v>61</v>
      </c>
      <c r="Z100" s="11"/>
      <c r="AA100" s="11"/>
      <c r="AB100" t="str">
        <f t="shared" si="3"/>
        <v>;;;;O.;N.;4A;6A;8A;10A;12A;4B;6B;8B;10B;12B;J1;;</v>
      </c>
      <c r="AC100" t="str">
        <f t="shared" si="2"/>
        <v>do $$ begin IF EXISTS (SELECT 1 FROM operace WHERE operace_id = 77) THEN update operace set kod = 'MA;MB;MX', nazev = 'Kartáčování', popis = '', filtr = ';;;;O.;N.;4A;6A;8A;10A;12A;4B;6B;8B;10B;12B;J1;;', poradi = 97 where operace_id = 77; ELSE INSERT INTO OPERACE (operace_id, nazev, popis, filtr, kod, poradi) VALUES (77,'Kartáčování','',';;;;O.;N.;4A;6A;8A;10A;12A;4B;6B;8B;10B;12B;J1;;','MA;MB;MX',97); END IF; END $$;</v>
      </c>
      <c r="AD100" s="28"/>
    </row>
    <row r="101" spans="1:30" x14ac:dyDescent="0.25">
      <c r="A101" s="61"/>
      <c r="B101">
        <v>98</v>
      </c>
      <c r="D101">
        <v>78</v>
      </c>
      <c r="E101" s="10" t="s">
        <v>4</v>
      </c>
      <c r="F101" s="44" t="s">
        <v>161</v>
      </c>
      <c r="G101" s="36"/>
      <c r="H101" t="s">
        <v>131</v>
      </c>
      <c r="K101" s="4" t="s">
        <v>57</v>
      </c>
      <c r="L101" s="4" t="s">
        <v>55</v>
      </c>
      <c r="Y101" s="4" t="s">
        <v>61</v>
      </c>
      <c r="Z101" s="4"/>
      <c r="AA101" s="4"/>
      <c r="AB101" t="str">
        <f t="shared" si="3"/>
        <v>;;J0;J.;;;;;;;;;;;;;J1;;</v>
      </c>
      <c r="AC101" t="str">
        <f t="shared" si="2"/>
        <v>do $$ begin IF EXISTS (SELECT 1 FROM operace WHERE operace_id = 78) THEN update operace set kod = 'MA;MB;MX', nazev = 'Kartáčování jednostranné - jen strana Cu', popis = 'J., J0, J1', filtr = ';;J0;J.;;;;;;;;;;;;;J1;;', poradi = 98 where operace_id = 78; ELSE INSERT INTO OPERACE (operace_id, nazev, popis, filtr, kod, poradi) VALUES (78,'Kartáčování jednostranné - jen strana Cu','J., J0, J1',';;J0;J.;;;;;;;;;;;;;J1;;','MA;MB;MX',98); END IF; END $$;</v>
      </c>
    </row>
    <row r="102" spans="1:30" x14ac:dyDescent="0.25">
      <c r="A102" s="61"/>
      <c r="B102">
        <v>99</v>
      </c>
      <c r="D102" s="28">
        <v>79</v>
      </c>
      <c r="E102" s="10" t="s">
        <v>5</v>
      </c>
      <c r="F102" s="44" t="s">
        <v>161</v>
      </c>
      <c r="G102" s="36"/>
      <c r="H102" t="s">
        <v>173</v>
      </c>
      <c r="K102" s="4" t="s">
        <v>57</v>
      </c>
      <c r="L102" s="4" t="s">
        <v>55</v>
      </c>
      <c r="M102" s="4" t="s">
        <v>56</v>
      </c>
      <c r="N102" s="4" t="s">
        <v>62</v>
      </c>
      <c r="O102" s="4" t="s">
        <v>63</v>
      </c>
      <c r="P102" s="4" t="s">
        <v>64</v>
      </c>
      <c r="Q102" s="4" t="s">
        <v>65</v>
      </c>
      <c r="R102" s="4" t="s">
        <v>66</v>
      </c>
      <c r="S102" s="4" t="s">
        <v>67</v>
      </c>
      <c r="T102" s="4" t="s">
        <v>68</v>
      </c>
      <c r="U102" s="4" t="s">
        <v>69</v>
      </c>
      <c r="V102" s="4" t="s">
        <v>70</v>
      </c>
      <c r="W102" s="4" t="s">
        <v>71</v>
      </c>
      <c r="X102" s="4" t="s">
        <v>72</v>
      </c>
      <c r="Y102" s="4" t="s">
        <v>61</v>
      </c>
      <c r="AB102" t="str">
        <f t="shared" si="3"/>
        <v>;;J0;J.;O.;N.;4A;6A;8A;10A;12A;4B;6B;8B;10B;12B;J1;;</v>
      </c>
      <c r="AC102" t="str">
        <f t="shared" si="2"/>
        <v>do $$ begin IF EXISTS (SELECT 1 FROM operace WHERE operace_id = 79) THEN update operace set kod = 'MA;MB;MX', nazev = 'Mikrozaleptání (MEB)', popis = '(7,8 kt  a IS40 de104) nebo ostatní material', filtr = ';;J0;J.;O.;N.;4A;6A;8A;10A;12A;4B;6B;8B;10B;12B;J1;;', poradi = 99 where operace_id = 79; ELSE INSERT INTO OPERACE (operace_id, nazev, popis, filtr, kod, poradi) VALUES (79,'Mikrozaleptání (MEB)','(7,8 kt  a IS40 de104) nebo ostatní material',';;J0;J.;O.;N.;4A;6A;8A;10A;12A;4B;6B;8B;10B;12B;J1;;','MA;MB;MX',99); END IF; END $$;</v>
      </c>
    </row>
    <row r="103" spans="1:30" x14ac:dyDescent="0.25">
      <c r="A103" s="61"/>
      <c r="B103" t="s">
        <v>279</v>
      </c>
      <c r="D103">
        <v>80</v>
      </c>
      <c r="E103" s="3" t="s">
        <v>268</v>
      </c>
      <c r="F103" s="44" t="s">
        <v>38</v>
      </c>
      <c r="G103" s="36"/>
      <c r="H103" t="s">
        <v>164</v>
      </c>
      <c r="K103" s="4"/>
      <c r="L103" s="4"/>
      <c r="M103" s="4" t="s">
        <v>56</v>
      </c>
      <c r="N103" s="4" t="s">
        <v>62</v>
      </c>
      <c r="O103" s="4" t="s">
        <v>63</v>
      </c>
      <c r="P103" s="4" t="s">
        <v>64</v>
      </c>
      <c r="Q103" s="4" t="s">
        <v>65</v>
      </c>
      <c r="R103" s="4" t="s">
        <v>66</v>
      </c>
      <c r="S103" s="4" t="s">
        <v>67</v>
      </c>
      <c r="T103" s="4" t="s">
        <v>68</v>
      </c>
      <c r="U103" s="4" t="s">
        <v>69</v>
      </c>
      <c r="V103" s="4" t="s">
        <v>70</v>
      </c>
      <c r="W103" s="4" t="s">
        <v>71</v>
      </c>
      <c r="X103" s="4" t="s">
        <v>72</v>
      </c>
      <c r="Y103" s="4"/>
      <c r="Z103" s="4"/>
      <c r="AA103" s="4"/>
      <c r="AB103" t="str">
        <f t="shared" si="3"/>
        <v>;;;;O.;N.;4A;6A;8A;10A;12A;4B;6B;8B;10B;12B;;;</v>
      </c>
      <c r="AC103" t="str">
        <f t="shared" si="2"/>
        <v>do $$ begin IF EXISTS (SELECT 1 FROM operace WHERE operace_id = 80) THEN update operace set kod = 'MA', nazev = 'Nanášení nepájivé masky {strana} - {barva}', popis = 'pouze zelena', filtr = ';;;;O.;N.;4A;6A;8A;10A;12A;4B;6B;8B;10B;12B;;;', poradi = 100.0 where operace_id = 80; ELSE INSERT INTO OPERACE (operace_id, nazev, popis, filtr, kod, poradi) VALUES (80,'Nanášení nepájivé masky {strana} - {barva}','pouze zelena',';;;;O.;N.;4A;6A;8A;10A;12A;4B;6B;8B;10B;12B;;;','MA',100.0); END IF; END $$;</v>
      </c>
    </row>
    <row r="104" spans="1:30" x14ac:dyDescent="0.25">
      <c r="A104" s="61"/>
      <c r="B104" t="s">
        <v>280</v>
      </c>
      <c r="D104" s="28">
        <v>81</v>
      </c>
      <c r="E104" s="10" t="s">
        <v>163</v>
      </c>
      <c r="F104" s="44" t="s">
        <v>38</v>
      </c>
      <c r="G104" s="36"/>
      <c r="H104" t="s">
        <v>166</v>
      </c>
      <c r="K104" s="4"/>
      <c r="L104" s="4"/>
      <c r="M104" s="4" t="s">
        <v>56</v>
      </c>
      <c r="N104" s="4" t="s">
        <v>62</v>
      </c>
      <c r="O104" s="4" t="s">
        <v>63</v>
      </c>
      <c r="P104" s="4" t="s">
        <v>64</v>
      </c>
      <c r="Q104" s="4" t="s">
        <v>65</v>
      </c>
      <c r="R104" s="4" t="s">
        <v>66</v>
      </c>
      <c r="S104" s="4" t="s">
        <v>67</v>
      </c>
      <c r="T104" s="4" t="s">
        <v>68</v>
      </c>
      <c r="U104" s="4" t="s">
        <v>69</v>
      </c>
      <c r="V104" s="4" t="s">
        <v>70</v>
      </c>
      <c r="W104" s="4" t="s">
        <v>71</v>
      </c>
      <c r="X104" s="4" t="s">
        <v>72</v>
      </c>
      <c r="Y104" s="4"/>
      <c r="Z104" s="4"/>
      <c r="AA104" s="4"/>
      <c r="AB104" t="str">
        <f t="shared" si="3"/>
        <v>;;;;O.;N.;4A;6A;8A;10A;12A;4B;6B;8B;10B;12B;;;</v>
      </c>
      <c r="AC104" t="str">
        <f t="shared" si="2"/>
        <v>do $$ begin IF EXISTS (SELECT 1 FROM operace WHERE operace_id = 81) THEN update operace set kod = 'MA', nazev = 'Nanášení nepájivé masky {strana} - sítotisk {barva}', popis = 'všechny ostatní , Q', filtr = ';;;;O.;N.;4A;6A;8A;10A;12A;4B;6B;8B;10B;12B;;;', poradi = 101.0 where operace_id = 81; ELSE INSERT INTO OPERACE (operace_id, nazev, popis, filtr, kod, poradi) VALUES (81,'Nanášení nepájivé masky {strana} - sítotisk {barva}','všechny ostatní , Q',';;;;O.;N.;4A;6A;8A;10A;12A;4B;6B;8B;10B;12B;;;','MA',101.0); END IF; END $$;</v>
      </c>
    </row>
    <row r="105" spans="1:30" x14ac:dyDescent="0.25">
      <c r="A105" s="61"/>
      <c r="B105" t="s">
        <v>281</v>
      </c>
      <c r="D105">
        <v>82</v>
      </c>
      <c r="E105" s="9" t="s">
        <v>340</v>
      </c>
      <c r="F105" s="44" t="s">
        <v>38</v>
      </c>
      <c r="G105" s="36"/>
      <c r="K105" s="4"/>
      <c r="L105" s="4"/>
      <c r="M105" s="4" t="s">
        <v>56</v>
      </c>
      <c r="N105" s="4" t="s">
        <v>62</v>
      </c>
      <c r="O105" s="4" t="s">
        <v>63</v>
      </c>
      <c r="P105" s="4" t="s">
        <v>64</v>
      </c>
      <c r="Q105" s="4" t="s">
        <v>65</v>
      </c>
      <c r="R105" s="4" t="s">
        <v>66</v>
      </c>
      <c r="S105" s="4" t="s">
        <v>67</v>
      </c>
      <c r="T105" s="4" t="s">
        <v>68</v>
      </c>
      <c r="U105" s="4" t="s">
        <v>69</v>
      </c>
      <c r="V105" s="4" t="s">
        <v>70</v>
      </c>
      <c r="W105" s="4" t="s">
        <v>71</v>
      </c>
      <c r="X105" s="4" t="s">
        <v>72</v>
      </c>
      <c r="Y105" s="4"/>
      <c r="Z105" s="4"/>
      <c r="AA105" s="4"/>
      <c r="AB105" t="str">
        <f t="shared" si="3"/>
        <v>;;;;O.;N.;4A;6A;8A;10A;12A;4B;6B;8B;10B;12B;;;</v>
      </c>
      <c r="AC105" t="str">
        <f t="shared" si="2"/>
        <v>do $$ begin IF EXISTS (SELECT 1 FROM operace WHERE operace_id = 82) THEN update operace set kod = 'MA', nazev = 'Vytvorění motivu masky {strana}', popis = '', filtr = ';;;;O.;N.;4A;6A;8A;10A;12A;4B;6B;8B;10B;12B;;;', poradi = 102.0 where operace_id = 82; ELSE INSERT INTO OPERACE (operace_id, nazev, popis, filtr, kod, poradi) VALUES (82,'Vytvorění motivu masky {strana}','',';;;;O.;N.;4A;6A;8A;10A;12A;4B;6B;8B;10B;12B;;;','MA',102.0); END IF; END $$;</v>
      </c>
    </row>
    <row r="106" spans="1:30" x14ac:dyDescent="0.25">
      <c r="A106" s="61"/>
      <c r="B106" t="s">
        <v>286</v>
      </c>
      <c r="D106">
        <v>2040</v>
      </c>
      <c r="E106" s="9" t="s">
        <v>189</v>
      </c>
      <c r="F106" s="44" t="s">
        <v>320</v>
      </c>
      <c r="G106" s="36"/>
      <c r="K106" s="4" t="s">
        <v>57</v>
      </c>
      <c r="L106" s="4" t="s">
        <v>55</v>
      </c>
      <c r="M106" s="4" t="s">
        <v>56</v>
      </c>
      <c r="N106" s="4" t="s">
        <v>62</v>
      </c>
      <c r="O106" s="4" t="s">
        <v>63</v>
      </c>
      <c r="P106" s="4" t="s">
        <v>64</v>
      </c>
      <c r="Q106" s="4" t="s">
        <v>65</v>
      </c>
      <c r="R106" s="4" t="s">
        <v>66</v>
      </c>
      <c r="S106" s="4" t="s">
        <v>67</v>
      </c>
      <c r="T106" s="4" t="s">
        <v>68</v>
      </c>
      <c r="U106" s="4" t="s">
        <v>69</v>
      </c>
      <c r="V106" s="4" t="s">
        <v>70</v>
      </c>
      <c r="W106" s="4" t="s">
        <v>71</v>
      </c>
      <c r="X106" s="4" t="s">
        <v>72</v>
      </c>
      <c r="Y106" s="4" t="s">
        <v>61</v>
      </c>
      <c r="Z106" s="4"/>
      <c r="AA106" s="4"/>
      <c r="AB106" t="str">
        <f t="shared" si="3"/>
        <v>;;J0;J.;O.;N.;4A;6A;8A;10A;12A;4B;6B;8B;10B;12B;J1;;</v>
      </c>
      <c r="AC106" t="str">
        <f t="shared" si="2"/>
        <v>do $$ begin IF EXISTS (SELECT 1 FROM operace WHERE operace_id = 2040) THEN update operace set kod = 'MA;MX', nazev = 'Vytvrzení 45 min.', popis = '', filtr = ';;J0;J.;O.;N.;4A;6A;8A;10A;12A;4B;6B;8B;10B;12B;J1;;', poradi = 103.0 where operace_id = 2040; ELSE INSERT INTO OPERACE (operace_id, nazev, popis, filtr, kod, poradi) VALUES (2040,'Vytvrzení 45 min.','',';;J0;J.;O.;N.;4A;6A;8A;10A;12A;4B;6B;8B;10B;12B;J1;;','MA;MX',103.0); END IF; END $$;</v>
      </c>
    </row>
    <row r="107" spans="1:30" x14ac:dyDescent="0.25">
      <c r="A107" s="61"/>
      <c r="B107" t="s">
        <v>287</v>
      </c>
      <c r="D107" s="28">
        <v>83</v>
      </c>
      <c r="E107" s="3" t="s">
        <v>284</v>
      </c>
      <c r="F107" s="44" t="s">
        <v>320</v>
      </c>
      <c r="G107" s="36"/>
      <c r="H107" t="s">
        <v>164</v>
      </c>
      <c r="K107" s="4" t="s">
        <v>57</v>
      </c>
      <c r="L107" s="4" t="s">
        <v>55</v>
      </c>
      <c r="M107" s="4" t="s">
        <v>56</v>
      </c>
      <c r="N107" s="4" t="s">
        <v>62</v>
      </c>
      <c r="O107" s="4" t="s">
        <v>63</v>
      </c>
      <c r="P107" s="4" t="s">
        <v>64</v>
      </c>
      <c r="Q107" s="4" t="s">
        <v>65</v>
      </c>
      <c r="R107" s="4" t="s">
        <v>66</v>
      </c>
      <c r="S107" s="4" t="s">
        <v>67</v>
      </c>
      <c r="T107" s="4" t="s">
        <v>68</v>
      </c>
      <c r="U107" s="4" t="s">
        <v>69</v>
      </c>
      <c r="V107" s="4" t="s">
        <v>70</v>
      </c>
      <c r="W107" s="4" t="s">
        <v>71</v>
      </c>
      <c r="X107" s="4" t="s">
        <v>72</v>
      </c>
      <c r="Y107" s="4" t="s">
        <v>61</v>
      </c>
      <c r="Z107" s="4"/>
      <c r="AA107" s="4"/>
      <c r="AB107" t="str">
        <f t="shared" si="3"/>
        <v>;;J0;J.;O.;N.;4A;6A;8A;10A;12A;4B;6B;8B;10B;12B;J1;;</v>
      </c>
      <c r="AC107" t="str">
        <f t="shared" si="2"/>
        <v>do $$ begin IF EXISTS (SELECT 1 FROM operace WHERE operace_id = 83) THEN update operace set kod = 'MA;MX', nazev = '2.Nanášení nepájivé masky {strana} - {barva}', popis = 'pouze zelena', filtr = ';;J0;J.;O.;N.;4A;6A;8A;10A;12A;4B;6B;8B;10B;12B;J1;;', poradi = 104.0 where operace_id = 83; ELSE INSERT INTO OPERACE (operace_id, nazev, popis, filtr, kod, poradi) VALUES (83,'2.Nanášení nepájivé masky {strana} - {barva}','pouze zelena',';;J0;J.;O.;N.;4A;6A;8A;10A;12A;4B;6B;8B;10B;12B;J1;;','MA;MX',104.0); END IF; END $$;</v>
      </c>
    </row>
    <row r="108" spans="1:30" x14ac:dyDescent="0.25">
      <c r="A108" s="61"/>
      <c r="B108" t="s">
        <v>288</v>
      </c>
      <c r="D108">
        <v>84</v>
      </c>
      <c r="E108" s="10" t="s">
        <v>285</v>
      </c>
      <c r="F108" s="44" t="s">
        <v>320</v>
      </c>
      <c r="G108" s="36"/>
      <c r="H108" t="s">
        <v>165</v>
      </c>
      <c r="K108" s="4" t="s">
        <v>57</v>
      </c>
      <c r="L108" s="4" t="s">
        <v>55</v>
      </c>
      <c r="M108" s="4" t="s">
        <v>56</v>
      </c>
      <c r="N108" s="4" t="s">
        <v>62</v>
      </c>
      <c r="O108" s="4" t="s">
        <v>63</v>
      </c>
      <c r="P108" s="4" t="s">
        <v>64</v>
      </c>
      <c r="Q108" s="4" t="s">
        <v>65</v>
      </c>
      <c r="R108" s="4" t="s">
        <v>66</v>
      </c>
      <c r="S108" s="4" t="s">
        <v>67</v>
      </c>
      <c r="T108" s="4" t="s">
        <v>68</v>
      </c>
      <c r="U108" s="4" t="s">
        <v>69</v>
      </c>
      <c r="V108" s="4" t="s">
        <v>70</v>
      </c>
      <c r="W108" s="4" t="s">
        <v>71</v>
      </c>
      <c r="X108" s="4" t="s">
        <v>72</v>
      </c>
      <c r="Y108" s="4" t="s">
        <v>61</v>
      </c>
      <c r="Z108" s="4"/>
      <c r="AA108" s="4"/>
      <c r="AB108" t="str">
        <f t="shared" si="3"/>
        <v>;;J0;J.;O.;N.;4A;6A;8A;10A;12A;4B;6B;8B;10B;12B;J1;;</v>
      </c>
      <c r="AC108" t="str">
        <f t="shared" si="2"/>
        <v>do $$ begin IF EXISTS (SELECT 1 FROM operace WHERE operace_id = 84) THEN update operace set kod = 'MA;MX', nazev = '2.Nanášení nepájivé masky {strana} - sítotisk {barva}', popis = 'všechny ostatní  plus Q', filtr = ';;J0;J.;O.;N.;4A;6A;8A;10A;12A;4B;6B;8B;10B;12B;J1;;', poradi = 105.0 where operace_id = 84; ELSE INSERT INTO OPERACE (operace_id, nazev, popis, filtr, kod, poradi) VALUES (84,'2.Nanášení nepájivé masky {strana} - sítotisk {barva}','všechny ostatní  plus Q',';;J0;J.;O.;N.;4A;6A;8A;10A;12A;4B;6B;8B;10B;12B;J1;;','MA;MX',105.0); END IF; END $$;</v>
      </c>
    </row>
    <row r="109" spans="1:30" x14ac:dyDescent="0.25">
      <c r="A109" s="61"/>
      <c r="B109" t="s">
        <v>289</v>
      </c>
      <c r="D109" s="28">
        <v>85</v>
      </c>
      <c r="E109" s="9" t="s">
        <v>341</v>
      </c>
      <c r="F109" s="44" t="s">
        <v>320</v>
      </c>
      <c r="G109" s="36"/>
      <c r="K109" s="4" t="s">
        <v>57</v>
      </c>
      <c r="L109" s="4" t="s">
        <v>55</v>
      </c>
      <c r="M109" s="4" t="s">
        <v>56</v>
      </c>
      <c r="N109" s="4" t="s">
        <v>62</v>
      </c>
      <c r="O109" s="4" t="s">
        <v>63</v>
      </c>
      <c r="P109" s="4" t="s">
        <v>64</v>
      </c>
      <c r="Q109" s="4" t="s">
        <v>65</v>
      </c>
      <c r="R109" s="4" t="s">
        <v>66</v>
      </c>
      <c r="S109" s="4" t="s">
        <v>67</v>
      </c>
      <c r="T109" s="4" t="s">
        <v>68</v>
      </c>
      <c r="U109" s="4" t="s">
        <v>69</v>
      </c>
      <c r="V109" s="4" t="s">
        <v>70</v>
      </c>
      <c r="W109" s="4" t="s">
        <v>71</v>
      </c>
      <c r="X109" s="4" t="s">
        <v>72</v>
      </c>
      <c r="Y109" s="4" t="s">
        <v>61</v>
      </c>
      <c r="Z109" s="4"/>
      <c r="AA109" s="4"/>
      <c r="AB109" t="str">
        <f t="shared" si="3"/>
        <v>;;J0;J.;O.;N.;4A;6A;8A;10A;12A;4B;6B;8B;10B;12B;J1;;</v>
      </c>
      <c r="AC109" t="str">
        <f t="shared" si="2"/>
        <v>do $$ begin IF EXISTS (SELECT 1 FROM operace WHERE operace_id = 85) THEN update operace set kod = 'MA;MX', nazev = '2.Vytvorění motivu masky {strana}', popis = '', filtr = ';;J0;J.;O.;N.;4A;6A;8A;10A;12A;4B;6B;8B;10B;12B;J1;;', poradi = 106.0 where operace_id = 85; ELSE INSERT INTO OPERACE (operace_id, nazev, popis, filtr, kod, poradi) VALUES (85,'2.Vytvorění motivu masky {strana}','',';;J0;J.;O.;N.;4A;6A;8A;10A;12A;4B;6B;8B;10B;12B;J1;;','MA;MX',106.0); END IF; END $$;</v>
      </c>
    </row>
    <row r="110" spans="1:30" x14ac:dyDescent="0.25">
      <c r="A110" s="61"/>
      <c r="B110" t="s">
        <v>294</v>
      </c>
      <c r="D110">
        <v>86</v>
      </c>
      <c r="E110" s="1" t="s">
        <v>310</v>
      </c>
      <c r="F110" s="35" t="s">
        <v>295</v>
      </c>
      <c r="G110" s="35"/>
      <c r="H110" t="s">
        <v>170</v>
      </c>
      <c r="K110" s="4"/>
      <c r="L110" s="4"/>
      <c r="M110" s="4" t="s">
        <v>56</v>
      </c>
      <c r="N110" s="4" t="s">
        <v>62</v>
      </c>
      <c r="O110" s="4" t="s">
        <v>63</v>
      </c>
      <c r="P110" s="4" t="s">
        <v>64</v>
      </c>
      <c r="Q110" s="4" t="s">
        <v>65</v>
      </c>
      <c r="R110" s="4" t="s">
        <v>66</v>
      </c>
      <c r="S110" s="4" t="s">
        <v>67</v>
      </c>
      <c r="T110" s="4" t="s">
        <v>68</v>
      </c>
      <c r="U110" s="4" t="s">
        <v>69</v>
      </c>
      <c r="V110" s="4" t="s">
        <v>70</v>
      </c>
      <c r="W110" s="4" t="s">
        <v>71</v>
      </c>
      <c r="X110" s="4" t="s">
        <v>72</v>
      </c>
      <c r="Y110" s="4"/>
      <c r="Z110" s="4"/>
      <c r="AA110" s="4"/>
      <c r="AB110" t="str">
        <f t="shared" si="3"/>
        <v>;;;;O.;N.;4A;6A;8A;10A;12A;4B;6B;8B;10B;12B;;;</v>
      </c>
      <c r="AC110" t="str">
        <f t="shared" si="2"/>
        <v>do $$ begin IF EXISTS (SELECT 1 FROM operace WHERE operace_id = 86) THEN update operace set kod = 'PA', nazev = 'Potisk NEWPRINT {strana}', popis = 'když Z není', filtr = ';;;;O.;N.;4A;6A;8A;10A;12A;4B;6B;8B;10B;12B;;;', poradi = 107.0 where operace_id = 86; ELSE INSERT INTO OPERACE (operace_id, nazev, popis, filtr, kod, poradi) VALUES (86,'Potisk NEWPRINT {strana}','když Z není',';;;;O.;N.;4A;6A;8A;10A;12A;4B;6B;8B;10B;12B;;;','PA',107.0); END IF; END $$;</v>
      </c>
    </row>
    <row r="111" spans="1:30" x14ac:dyDescent="0.25">
      <c r="A111" s="61"/>
      <c r="B111" t="s">
        <v>282</v>
      </c>
      <c r="D111" s="28">
        <v>87</v>
      </c>
      <c r="E111" s="1" t="s">
        <v>30</v>
      </c>
      <c r="F111" s="35" t="s">
        <v>38</v>
      </c>
      <c r="G111" s="35"/>
      <c r="H111" t="s">
        <v>160</v>
      </c>
      <c r="K111" s="4"/>
      <c r="L111" s="4"/>
      <c r="M111" s="4" t="s">
        <v>56</v>
      </c>
      <c r="N111" s="4" t="s">
        <v>62</v>
      </c>
      <c r="O111" s="4" t="s">
        <v>63</v>
      </c>
      <c r="P111" s="4" t="s">
        <v>64</v>
      </c>
      <c r="Q111" s="4" t="s">
        <v>65</v>
      </c>
      <c r="R111" s="4" t="s">
        <v>66</v>
      </c>
      <c r="S111" s="4" t="s">
        <v>67</v>
      </c>
      <c r="T111" s="4" t="s">
        <v>68</v>
      </c>
      <c r="U111" s="4" t="s">
        <v>69</v>
      </c>
      <c r="V111" s="4" t="s">
        <v>70</v>
      </c>
      <c r="W111" s="4" t="s">
        <v>71</v>
      </c>
      <c r="X111" s="4" t="s">
        <v>72</v>
      </c>
      <c r="Y111" s="4"/>
      <c r="Z111" s="4"/>
      <c r="AA111" s="4"/>
      <c r="AB111" t="str">
        <f t="shared" si="3"/>
        <v>;;;;O.;N.;4A;6A;8A;10A;12A;4B;6B;8B;10B;12B;;;</v>
      </c>
      <c r="AC111" t="str">
        <f t="shared" si="2"/>
        <v>do $$ begin IF EXISTS (SELECT 1 FROM operace WHERE operace_id = 87) THEN update operace set kod = 'MA', nazev = 'Kontrola před vytvrzením', popis = '7. a 8. k.t. ', filtr = ';;;;O.;N.;4A;6A;8A;10A;12A;4B;6B;8B;10B;12B;;;', poradi = 108.0 where operace_id = 87; ELSE INSERT INTO OPERACE (operace_id, nazev, popis, filtr, kod, poradi) VALUES (87,'Kontrola před vytvrzením','7. a 8. k.t. ',';;;;O.;N.;4A;6A;8A;10A;12A;4B;6B;8B;10B;12B;;;','MA',108.0); END IF; END $$;</v>
      </c>
    </row>
    <row r="112" spans="1:30" x14ac:dyDescent="0.25">
      <c r="A112" s="61"/>
      <c r="B112" t="s">
        <v>283</v>
      </c>
      <c r="D112">
        <v>88</v>
      </c>
      <c r="E112" s="1" t="s">
        <v>31</v>
      </c>
      <c r="F112" s="35" t="s">
        <v>38</v>
      </c>
      <c r="G112" s="35"/>
      <c r="K112" s="4"/>
      <c r="L112" s="4"/>
      <c r="M112" s="4" t="s">
        <v>56</v>
      </c>
      <c r="N112" s="4" t="s">
        <v>62</v>
      </c>
      <c r="O112" s="4" t="s">
        <v>63</v>
      </c>
      <c r="P112" s="4" t="s">
        <v>64</v>
      </c>
      <c r="Q112" s="4" t="s">
        <v>65</v>
      </c>
      <c r="R112" s="4" t="s">
        <v>66</v>
      </c>
      <c r="S112" s="4" t="s">
        <v>67</v>
      </c>
      <c r="T112" s="4" t="s">
        <v>68</v>
      </c>
      <c r="U112" s="4" t="s">
        <v>69</v>
      </c>
      <c r="V112" s="4" t="s">
        <v>70</v>
      </c>
      <c r="W112" s="4" t="s">
        <v>71</v>
      </c>
      <c r="X112" s="4" t="s">
        <v>72</v>
      </c>
      <c r="Y112" s="4"/>
      <c r="Z112" s="4"/>
      <c r="AA112" s="4"/>
      <c r="AB112" t="str">
        <f t="shared" si="3"/>
        <v>;;;;O.;N.;4A;6A;8A;10A;12A;4B;6B;8B;10B;12B;;;</v>
      </c>
      <c r="AC112" t="str">
        <f t="shared" si="2"/>
        <v>do $$ begin IF EXISTS (SELECT 1 FROM operace WHERE operace_id = 88) THEN update operace set kod = 'MA', nazev = 'Vytvrzení', popis = '', filtr = ';;;;O.;N.;4A;6A;8A;10A;12A;4B;6B;8B;10B;12B;;;', poradi = 109.0 where operace_id = 88; ELSE INSERT INTO OPERACE (operace_id, nazev, popis, filtr, kod, poradi) VALUES (88,'Vytvrzení','',';;;;O.;N.;4A;6A;8A;10A;12A;4B;6B;8B;10B;12B;;;','MA',109.0); END IF; END $$;</v>
      </c>
    </row>
    <row r="113" spans="1:29" x14ac:dyDescent="0.25">
      <c r="A113" s="61"/>
      <c r="B113" t="s">
        <v>304</v>
      </c>
      <c r="D113" s="28">
        <v>89</v>
      </c>
      <c r="E113" s="1" t="s">
        <v>303</v>
      </c>
      <c r="F113" s="35" t="s">
        <v>295</v>
      </c>
      <c r="G113" s="35"/>
      <c r="H113" t="s">
        <v>167</v>
      </c>
      <c r="K113" s="4"/>
      <c r="L113" s="4"/>
      <c r="M113" s="4" t="s">
        <v>56</v>
      </c>
      <c r="N113" s="4" t="s">
        <v>62</v>
      </c>
      <c r="O113" s="4" t="s">
        <v>63</v>
      </c>
      <c r="P113" s="4" t="s">
        <v>64</v>
      </c>
      <c r="Q113" s="4" t="s">
        <v>65</v>
      </c>
      <c r="R113" s="4" t="s">
        <v>66</v>
      </c>
      <c r="S113" s="4" t="s">
        <v>67</v>
      </c>
      <c r="T113" s="4" t="s">
        <v>68</v>
      </c>
      <c r="U113" s="4" t="s">
        <v>69</v>
      </c>
      <c r="V113" s="4" t="s">
        <v>70</v>
      </c>
      <c r="W113" s="4" t="s">
        <v>71</v>
      </c>
      <c r="X113" s="4" t="s">
        <v>72</v>
      </c>
      <c r="Y113" s="4"/>
      <c r="Z113" s="4"/>
      <c r="AA113" s="4"/>
      <c r="AB113" t="str">
        <f t="shared" si="3"/>
        <v>;;;;O.;N.;4A;6A;8A;10A;12A;4B;6B;8B;10B;12B;;;</v>
      </c>
      <c r="AC113" t="str">
        <f t="shared" si="2"/>
        <v>do $$ begin IF EXISTS (SELECT 1 FROM operace WHERE operace_id = 89) THEN update operace set kod = 'PA', nazev = 'Potisk {strana} - sitotisk {barva}, vytvrzeni', popis = 'mimo HAL , pokud je zvolen', filtr = ';;;;O.;N.;4A;6A;8A;10A;12A;4B;6B;8B;10B;12B;;;', poradi = 110.0 where operace_id = 89; ELSE INSERT INTO OPERACE (operace_id, nazev, popis, filtr, kod, poradi) VALUES (89,'Potisk {strana} - sitotisk {barva}, vytvrzeni','mimo HAL , pokud je zvolen',';;;;O.;N.;4A;6A;8A;10A;12A;4B;6B;8B;10B;12B;;;','PA',110.0); END IF; END $$;</v>
      </c>
    </row>
    <row r="114" spans="1:29" x14ac:dyDescent="0.25">
      <c r="A114" s="61" t="s">
        <v>44</v>
      </c>
      <c r="B114">
        <v>111</v>
      </c>
      <c r="D114" s="28">
        <v>91</v>
      </c>
      <c r="E114" s="29" t="s">
        <v>35</v>
      </c>
      <c r="F114" s="35" t="s">
        <v>44</v>
      </c>
      <c r="G114" s="35"/>
      <c r="K114" s="4"/>
      <c r="L114" s="4"/>
      <c r="M114" s="4" t="s">
        <v>56</v>
      </c>
      <c r="N114" s="4" t="s">
        <v>62</v>
      </c>
      <c r="O114" s="4" t="s">
        <v>63</v>
      </c>
      <c r="P114" s="4" t="s">
        <v>64</v>
      </c>
      <c r="Q114" s="4" t="s">
        <v>65</v>
      </c>
      <c r="R114" s="4" t="s">
        <v>66</v>
      </c>
      <c r="S114" s="4" t="s">
        <v>67</v>
      </c>
      <c r="T114" s="4" t="s">
        <v>68</v>
      </c>
      <c r="U114" s="4" t="s">
        <v>69</v>
      </c>
      <c r="V114" s="4" t="s">
        <v>70</v>
      </c>
      <c r="W114" s="4" t="s">
        <v>71</v>
      </c>
      <c r="X114" s="4" t="s">
        <v>72</v>
      </c>
      <c r="Y114" s="4"/>
      <c r="Z114" s="4"/>
      <c r="AA114" s="4"/>
      <c r="AB114" t="str">
        <f t="shared" si="3"/>
        <v>;;;;O.;N.;4A;6A;8A;10A;12A;4B;6B;8B;10B;12B;;;</v>
      </c>
      <c r="AC114" t="str">
        <f t="shared" si="2"/>
        <v>do $$ begin IF EXISTS (SELECT 1 FROM operace WHERE operace_id = 91) THEN update operace set kod = 'H', nazev = 'Aktivace Cu, HAL', popis = '', filtr = ';;;;O.;N.;4A;6A;8A;10A;12A;4B;6B;8B;10B;12B;;;', poradi = 111 where operace_id = 91; ELSE INSERT INTO OPERACE (operace_id, nazev, popis, filtr, kod, poradi) VALUES (91,'Aktivace Cu, HAL','',';;;;O.;N.;4A;6A;8A;10A;12A;4B;6B;8B;10B;12B;;;','H',111); END IF; END $$;</v>
      </c>
    </row>
    <row r="115" spans="1:29" x14ac:dyDescent="0.25">
      <c r="A115" s="61"/>
      <c r="B115" t="s">
        <v>307</v>
      </c>
      <c r="D115">
        <v>92</v>
      </c>
      <c r="E115" s="29" t="s">
        <v>303</v>
      </c>
      <c r="F115" s="35" t="s">
        <v>295</v>
      </c>
      <c r="G115" s="35"/>
      <c r="H115" t="s">
        <v>178</v>
      </c>
      <c r="K115" s="4"/>
      <c r="L115" s="4"/>
      <c r="M115" s="4" t="s">
        <v>56</v>
      </c>
      <c r="N115" s="4" t="s">
        <v>62</v>
      </c>
      <c r="O115" s="4" t="s">
        <v>63</v>
      </c>
      <c r="P115" s="4" t="s">
        <v>64</v>
      </c>
      <c r="Q115" s="4" t="s">
        <v>65</v>
      </c>
      <c r="R115" s="4" t="s">
        <v>66</v>
      </c>
      <c r="S115" s="4" t="s">
        <v>67</v>
      </c>
      <c r="T115" s="4" t="s">
        <v>68</v>
      </c>
      <c r="U115" s="4" t="s">
        <v>69</v>
      </c>
      <c r="V115" s="4" t="s">
        <v>70</v>
      </c>
      <c r="W115" s="4" t="s">
        <v>71</v>
      </c>
      <c r="X115" s="4" t="s">
        <v>72</v>
      </c>
      <c r="Y115" s="4"/>
      <c r="Z115" s="4"/>
      <c r="AA115" s="4"/>
      <c r="AB115" t="str">
        <f t="shared" si="3"/>
        <v>;;;;O.;N.;4A;6A;8A;10A;12A;4B;6B;8B;10B;12B;;;</v>
      </c>
      <c r="AC115" t="str">
        <f t="shared" si="2"/>
        <v>do $$ begin IF EXISTS (SELECT 1 FROM operace WHERE operace_id = 92) THEN update operace set kod = 'PA', nazev = 'Potisk {strana} - sitotisk {barva}, vytvrzeni', popis = 'pokud je zvolen', filtr = ';;;;O.;N.;4A;6A;8A;10A;12A;4B;6B;8B;10B;12B;;;', poradi = 112.0 where operace_id = 92; ELSE INSERT INTO OPERACE (operace_id, nazev, popis, filtr, kod, poradi) VALUES (92,'Potisk {strana} - sitotisk {barva}, vytvrzeni','pokud je zvolen',';;;;O.;N.;4A;6A;8A;10A;12A;4B;6B;8B;10B;12B;;;','PA',112.0); END IF; END $$;</v>
      </c>
    </row>
    <row r="116" spans="1:29" x14ac:dyDescent="0.25">
      <c r="A116" s="61"/>
      <c r="B116">
        <v>113</v>
      </c>
      <c r="D116" s="28">
        <v>93</v>
      </c>
      <c r="E116" s="29" t="s">
        <v>80</v>
      </c>
      <c r="F116" s="35" t="s">
        <v>44</v>
      </c>
      <c r="G116" s="35"/>
      <c r="K116" s="4" t="s">
        <v>57</v>
      </c>
      <c r="L116" s="4" t="s">
        <v>55</v>
      </c>
      <c r="M116" s="4" t="s">
        <v>56</v>
      </c>
      <c r="N116" s="4" t="s">
        <v>62</v>
      </c>
      <c r="O116" s="4" t="s">
        <v>63</v>
      </c>
      <c r="P116" s="4" t="s">
        <v>64</v>
      </c>
      <c r="Q116" s="4" t="s">
        <v>65</v>
      </c>
      <c r="R116" s="4" t="s">
        <v>66</v>
      </c>
      <c r="S116" s="4" t="s">
        <v>67</v>
      </c>
      <c r="T116" s="4" t="s">
        <v>68</v>
      </c>
      <c r="U116" s="4" t="s">
        <v>69</v>
      </c>
      <c r="V116" s="4" t="s">
        <v>70</v>
      </c>
      <c r="W116" s="4" t="s">
        <v>71</v>
      </c>
      <c r="X116" s="4" t="s">
        <v>72</v>
      </c>
      <c r="Y116" s="4"/>
      <c r="Z116" s="4"/>
      <c r="AA116" s="4"/>
      <c r="AB116" t="str">
        <f t="shared" si="3"/>
        <v>;;J0;J.;O.;N.;4A;6A;8A;10A;12A;4B;6B;8B;10B;12B;;;</v>
      </c>
      <c r="AC116" t="str">
        <f t="shared" si="2"/>
        <v>do $$ begin IF EXISTS (SELECT 1 FROM operace WHERE operace_id = 93) THEN update operace set kod = 'H', nazev = 'Kontrola po HAL', popis = '', filtr = ';;J0;J.;O.;N.;4A;6A;8A;10A;12A;4B;6B;8B;10B;12B;;;', poradi = 113 where operace_id = 93; ELSE INSERT INTO OPERACE (operace_id, nazev, popis, filtr, kod, poradi) VALUES (93,'Kontrola po HAL','',';;J0;J.;O.;N.;4A;6A;8A;10A;12A;4B;6B;8B;10B;12B;;;','H',113); END IF; END $$;</v>
      </c>
    </row>
    <row r="117" spans="1:29" x14ac:dyDescent="0.25">
      <c r="A117" s="61" t="s">
        <v>42</v>
      </c>
      <c r="B117">
        <v>114</v>
      </c>
      <c r="C117" s="11"/>
      <c r="D117" s="28">
        <v>95</v>
      </c>
      <c r="E117" s="29" t="s">
        <v>29</v>
      </c>
      <c r="F117" s="35" t="s">
        <v>42</v>
      </c>
      <c r="G117" s="35"/>
      <c r="H117" t="s">
        <v>168</v>
      </c>
      <c r="K117" s="4" t="s">
        <v>57</v>
      </c>
      <c r="L117" s="4" t="s">
        <v>55</v>
      </c>
      <c r="M117" s="4" t="s">
        <v>56</v>
      </c>
      <c r="N117" s="4" t="s">
        <v>62</v>
      </c>
      <c r="O117" s="4" t="s">
        <v>63</v>
      </c>
      <c r="P117" s="4" t="s">
        <v>64</v>
      </c>
      <c r="Q117" s="4" t="s">
        <v>65</v>
      </c>
      <c r="R117" s="4" t="s">
        <v>66</v>
      </c>
      <c r="S117" s="4" t="s">
        <v>67</v>
      </c>
      <c r="T117" s="4" t="s">
        <v>68</v>
      </c>
      <c r="U117" s="4" t="s">
        <v>69</v>
      </c>
      <c r="V117" s="4" t="s">
        <v>70</v>
      </c>
      <c r="W117" s="4" t="s">
        <v>71</v>
      </c>
      <c r="X117" s="4" t="s">
        <v>72</v>
      </c>
      <c r="AB117" t="str">
        <f t="shared" si="3"/>
        <v>;;J0;J.;O.;N.;4A;6A;8A;10A;12A;4B;6B;8B;10B;12B;;;</v>
      </c>
      <c r="AC117" t="str">
        <f t="shared" si="2"/>
        <v>do $$ begin IF EXISTS (SELECT 1 FROM operace WHERE operace_id = 95) THEN update operace set kod = 'I', nazev = 'Lepit hrany před zlacením', popis = ' tlouska ˃ 2,0 mm', filtr = ';;J0;J.;O.;N.;4A;6A;8A;10A;12A;4B;6B;8B;10B;12B;;;', poradi = 114 where operace_id = 95; ELSE INSERT INTO OPERACE (operace_id, nazev, popis, filtr, kod, poradi) VALUES (95,'Lepit hrany před zlacením',' tlouska ˃ 2,0 mm',';;J0;J.;O.;N.;4A;6A;8A;10A;12A;4B;6B;8B;10B;12B;;;','I',114); END IF; END $$;</v>
      </c>
    </row>
    <row r="118" spans="1:29" x14ac:dyDescent="0.25">
      <c r="A118" s="61"/>
      <c r="B118">
        <v>115</v>
      </c>
      <c r="C118" s="11"/>
      <c r="D118">
        <v>96</v>
      </c>
      <c r="E118" s="29" t="s">
        <v>246</v>
      </c>
      <c r="F118" s="35" t="s">
        <v>42</v>
      </c>
      <c r="G118" s="35"/>
      <c r="K118" s="4" t="s">
        <v>57</v>
      </c>
      <c r="L118" s="4" t="s">
        <v>55</v>
      </c>
      <c r="M118" s="4" t="s">
        <v>56</v>
      </c>
      <c r="N118" s="4" t="s">
        <v>62</v>
      </c>
      <c r="O118" s="4" t="s">
        <v>63</v>
      </c>
      <c r="P118" s="4" t="s">
        <v>64</v>
      </c>
      <c r="Q118" s="4" t="s">
        <v>65</v>
      </c>
      <c r="R118" s="4" t="s">
        <v>66</v>
      </c>
      <c r="S118" s="4" t="s">
        <v>67</v>
      </c>
      <c r="T118" s="4" t="s">
        <v>68</v>
      </c>
      <c r="U118" s="4" t="s">
        <v>69</v>
      </c>
      <c r="V118" s="4" t="s">
        <v>70</v>
      </c>
      <c r="W118" s="4" t="s">
        <v>71</v>
      </c>
      <c r="X118" s="4" t="s">
        <v>72</v>
      </c>
      <c r="AB118" t="str">
        <f t="shared" si="3"/>
        <v>;;J0;J.;O.;N.;4A;6A;8A;10A;12A;4B;6B;8B;10B;12B;;;</v>
      </c>
      <c r="AC118" t="str">
        <f t="shared" si="2"/>
        <v>do $$ begin IF EXISTS (SELECT 1 FROM operace WHERE operace_id = 96) THEN update operace set kod = 'I', nazev = 'Imersní zlacení', popis = '', filtr = ';;J0;J.;O.;N.;4A;6A;8A;10A;12A;4B;6B;8B;10B;12B;;;', poradi = 115 where operace_id = 96; ELSE INSERT INTO OPERACE (operace_id, nazev, popis, filtr, kod, poradi) VALUES (96,'Imersní zlacení','',';;J0;J.;O.;N.;4A;6A;8A;10A;12A;4B;6B;8B;10B;12B;;;','I',115); END IF; END $$;</v>
      </c>
    </row>
    <row r="119" spans="1:29" x14ac:dyDescent="0.25">
      <c r="A119" s="61"/>
      <c r="B119">
        <v>116</v>
      </c>
      <c r="C119" s="11"/>
      <c r="D119" s="28">
        <v>97</v>
      </c>
      <c r="E119" s="29" t="s">
        <v>342</v>
      </c>
      <c r="F119" s="35" t="s">
        <v>42</v>
      </c>
      <c r="G119" s="35"/>
      <c r="K119" s="4" t="s">
        <v>57</v>
      </c>
      <c r="L119" s="4" t="s">
        <v>55</v>
      </c>
      <c r="M119" s="4" t="s">
        <v>56</v>
      </c>
      <c r="N119" s="4" t="s">
        <v>62</v>
      </c>
      <c r="O119" s="4" t="s">
        <v>63</v>
      </c>
      <c r="P119" s="4" t="s">
        <v>64</v>
      </c>
      <c r="Q119" s="4" t="s">
        <v>65</v>
      </c>
      <c r="R119" s="4" t="s">
        <v>66</v>
      </c>
      <c r="S119" s="4" t="s">
        <v>67</v>
      </c>
      <c r="T119" s="4" t="s">
        <v>68</v>
      </c>
      <c r="U119" s="4" t="s">
        <v>69</v>
      </c>
      <c r="V119" s="4" t="s">
        <v>70</v>
      </c>
      <c r="W119" s="4" t="s">
        <v>71</v>
      </c>
      <c r="X119" s="4" t="s">
        <v>72</v>
      </c>
      <c r="AB119" t="str">
        <f t="shared" si="3"/>
        <v>;;J0;J.;O.;N.;4A;6A;8A;10A;12A;4B;6B;8B;10B;12B;;;</v>
      </c>
      <c r="AC119" t="str">
        <f t="shared" si="2"/>
        <v>do $$ begin IF EXISTS (SELECT 1 FROM operace WHERE operace_id = 97) THEN update operace set kod = 'I', nazev = 'Kontrola po imersním zlacení', popis = '', filtr = ';;J0;J.;O.;N.;4A;6A;8A;10A;12A;4B;6B;8B;10B;12B;;;', poradi = 116 where operace_id = 97; ELSE INSERT INTO OPERACE (operace_id, nazev, popis, filtr, kod, poradi) VALUES (97,'Kontrola po imersním zlacení','',';;J0;J.;O.;N.;4A;6A;8A;10A;12A;4B;6B;8B;10B;12B;;;','I',116); END IF; END $$;</v>
      </c>
    </row>
    <row r="120" spans="1:29" x14ac:dyDescent="0.25">
      <c r="A120" s="61" t="s">
        <v>45</v>
      </c>
      <c r="B120">
        <v>117</v>
      </c>
      <c r="C120" s="11"/>
      <c r="D120" s="28">
        <v>99</v>
      </c>
      <c r="E120" s="29" t="s">
        <v>182</v>
      </c>
      <c r="F120" s="35" t="s">
        <v>45</v>
      </c>
      <c r="G120" s="35"/>
      <c r="K120" s="4" t="s">
        <v>57</v>
      </c>
      <c r="L120" s="4" t="s">
        <v>55</v>
      </c>
      <c r="M120" s="4" t="s">
        <v>56</v>
      </c>
      <c r="N120" s="4" t="s">
        <v>62</v>
      </c>
      <c r="O120" s="4" t="s">
        <v>63</v>
      </c>
      <c r="P120" s="4" t="s">
        <v>64</v>
      </c>
      <c r="Q120" s="4" t="s">
        <v>65</v>
      </c>
      <c r="R120" s="4" t="s">
        <v>66</v>
      </c>
      <c r="S120" s="4" t="s">
        <v>67</v>
      </c>
      <c r="T120" s="4" t="s">
        <v>68</v>
      </c>
      <c r="U120" s="4" t="s">
        <v>69</v>
      </c>
      <c r="V120" s="4" t="s">
        <v>70</v>
      </c>
      <c r="W120" s="4" t="s">
        <v>71</v>
      </c>
      <c r="X120" s="4" t="s">
        <v>72</v>
      </c>
      <c r="AB120" t="str">
        <f t="shared" si="3"/>
        <v>;;J0;J.;O.;N.;4A;6A;8A;10A;12A;4B;6B;8B;10B;12B;;;</v>
      </c>
      <c r="AC120" t="str">
        <f t="shared" si="2"/>
        <v>do $$ begin IF EXISTS (SELECT 1 FROM operace WHERE operace_id = 99) THEN update operace set kod = 'C', nazev = 'Stripování + MEB 2 m/min + imersní cínování', popis = '', filtr = ';;J0;J.;O.;N.;4A;6A;8A;10A;12A;4B;6B;8B;10B;12B;;;', poradi = 117 where operace_id = 99; ELSE INSERT INTO OPERACE (operace_id, nazev, popis, filtr, kod, poradi) VALUES (99,'Stripování + MEB 2 m/min + imersní cínování','',';;J0;J.;O.;N.;4A;6A;8A;10A;12A;4B;6B;8B;10B;12B;;;','C',117); END IF; END $$;</v>
      </c>
    </row>
    <row r="121" spans="1:29" x14ac:dyDescent="0.25">
      <c r="A121" s="61"/>
      <c r="B121">
        <v>118</v>
      </c>
      <c r="C121" s="11"/>
      <c r="D121">
        <v>100</v>
      </c>
      <c r="E121" s="29" t="s">
        <v>343</v>
      </c>
      <c r="F121" s="35" t="s">
        <v>45</v>
      </c>
      <c r="G121" s="35"/>
      <c r="K121" s="4" t="s">
        <v>57</v>
      </c>
      <c r="L121" s="4" t="s">
        <v>55</v>
      </c>
      <c r="M121" s="4" t="s">
        <v>56</v>
      </c>
      <c r="N121" s="4" t="s">
        <v>62</v>
      </c>
      <c r="O121" s="4" t="s">
        <v>63</v>
      </c>
      <c r="P121" s="4" t="s">
        <v>64</v>
      </c>
      <c r="Q121" s="4" t="s">
        <v>65</v>
      </c>
      <c r="R121" s="4" t="s">
        <v>66</v>
      </c>
      <c r="S121" s="4" t="s">
        <v>67</v>
      </c>
      <c r="T121" s="4" t="s">
        <v>68</v>
      </c>
      <c r="U121" s="4" t="s">
        <v>69</v>
      </c>
      <c r="V121" s="4" t="s">
        <v>70</v>
      </c>
      <c r="W121" s="4" t="s">
        <v>71</v>
      </c>
      <c r="X121" s="4" t="s">
        <v>72</v>
      </c>
      <c r="AB121" t="str">
        <f t="shared" si="3"/>
        <v>;;J0;J.;O.;N.;4A;6A;8A;10A;12A;4B;6B;8B;10B;12B;;;</v>
      </c>
      <c r="AC121" t="str">
        <f t="shared" si="2"/>
        <v>do $$ begin IF EXISTS (SELECT 1 FROM operace WHERE operace_id = 100) THEN update operace set kod = 'C', nazev = 'Kontrola po imersním cínování', popis = '', filtr = ';;J0;J.;O.;N.;4A;6A;8A;10A;12A;4B;6B;8B;10B;12B;;;', poradi = 118 where operace_id = 100; ELSE INSERT INTO OPERACE (operace_id, nazev, popis, filtr, kod, poradi) VALUES (100,'Kontrola po imersním cínování','',';;J0;J.;O.;N.;4A;6A;8A;10A;12A;4B;6B;8B;10B;12B;;;','C',118); END IF; END $$;</v>
      </c>
    </row>
    <row r="122" spans="1:29" x14ac:dyDescent="0.25">
      <c r="A122" s="63" t="s">
        <v>43</v>
      </c>
      <c r="B122">
        <v>119</v>
      </c>
      <c r="C122" s="28"/>
      <c r="D122">
        <v>102</v>
      </c>
      <c r="E122" s="33" t="s">
        <v>187</v>
      </c>
      <c r="F122" s="46" t="s">
        <v>43</v>
      </c>
      <c r="G122" s="46"/>
      <c r="H122" s="28"/>
      <c r="I122" s="11"/>
      <c r="J122" s="11"/>
      <c r="K122" s="4" t="s">
        <v>57</v>
      </c>
      <c r="L122" s="4" t="s">
        <v>55</v>
      </c>
      <c r="M122" s="4" t="s">
        <v>56</v>
      </c>
      <c r="N122" s="4" t="s">
        <v>62</v>
      </c>
      <c r="O122" s="4" t="s">
        <v>63</v>
      </c>
      <c r="P122" s="4" t="s">
        <v>64</v>
      </c>
      <c r="Q122" s="4" t="s">
        <v>65</v>
      </c>
      <c r="R122" s="4" t="s">
        <v>66</v>
      </c>
      <c r="S122" s="4" t="s">
        <v>67</v>
      </c>
      <c r="T122" s="4" t="s">
        <v>68</v>
      </c>
      <c r="U122" s="4" t="s">
        <v>69</v>
      </c>
      <c r="V122" s="4" t="s">
        <v>70</v>
      </c>
      <c r="W122" s="4" t="s">
        <v>71</v>
      </c>
      <c r="X122" s="4" t="s">
        <v>72</v>
      </c>
      <c r="AB122" t="str">
        <f t="shared" si="3"/>
        <v>;;J0;J.;O.;N.;4A;6A;8A;10A;12A;4B;6B;8B;10B;12B;;;</v>
      </c>
      <c r="AC122" t="str">
        <f t="shared" si="2"/>
        <v>do $$ begin IF EXISTS (SELECT 1 FROM operace WHERE operace_id = 102) THEN update operace set kod = 'Q', nazev = 'Stripování cínu + kartáčování + celoplošné galvanické zlacení', popis = '', filtr = ';;J0;J.;O.;N.;4A;6A;8A;10A;12A;4B;6B;8B;10B;12B;;;', poradi = 119 where operace_id = 102; ELSE INSERT INTO OPERACE (operace_id, nazev, popis, filtr, kod, poradi) VALUES (102,'Stripování cínu + kartáčování + celoplošné galvanické zlacení','',';;J0;J.;O.;N.;4A;6A;8A;10A;12A;4B;6B;8B;10B;12B;;;','Q',119); END IF; END $$;</v>
      </c>
    </row>
    <row r="123" spans="1:29" x14ac:dyDescent="0.25">
      <c r="A123" s="61"/>
      <c r="B123">
        <v>120</v>
      </c>
      <c r="C123" s="11"/>
      <c r="D123" s="28">
        <v>103</v>
      </c>
      <c r="E123" s="30" t="s">
        <v>183</v>
      </c>
      <c r="F123" s="39" t="s">
        <v>43</v>
      </c>
      <c r="G123" s="39"/>
      <c r="K123" s="4" t="s">
        <v>57</v>
      </c>
      <c r="L123" s="4" t="s">
        <v>55</v>
      </c>
      <c r="M123" s="4" t="s">
        <v>56</v>
      </c>
      <c r="N123" s="4" t="s">
        <v>62</v>
      </c>
      <c r="O123" s="4" t="s">
        <v>63</v>
      </c>
      <c r="P123" s="4" t="s">
        <v>64</v>
      </c>
      <c r="Q123" s="4" t="s">
        <v>65</v>
      </c>
      <c r="R123" s="4" t="s">
        <v>66</v>
      </c>
      <c r="S123" s="4" t="s">
        <v>67</v>
      </c>
      <c r="T123" s="4" t="s">
        <v>68</v>
      </c>
      <c r="U123" s="4" t="s">
        <v>69</v>
      </c>
      <c r="V123" s="4" t="s">
        <v>70</v>
      </c>
      <c r="W123" s="4" t="s">
        <v>71</v>
      </c>
      <c r="X123" s="4" t="s">
        <v>72</v>
      </c>
      <c r="AB123" t="str">
        <f t="shared" si="3"/>
        <v>;;J0;J.;O.;N.;4A;6A;8A;10A;12A;4B;6B;8B;10B;12B;;;</v>
      </c>
      <c r="AC123" t="str">
        <f t="shared" si="2"/>
        <v>do $$ begin IF EXISTS (SELECT 1 FROM operace WHERE operace_id = 103) THEN update operace set kod = 'Q', nazev = 'Stripování fotorezistu MM540!', popis = '', filtr = ';;J0;J.;O.;N.;4A;6A;8A;10A;12A;4B;6B;8B;10B;12B;;;', poradi = 120 where operace_id = 103; ELSE INSERT INTO OPERACE (operace_id, nazev, popis, filtr, kod, poradi) VALUES (103,'Stripování fotorezistu MM540!','',';;J0;J.;O.;N.;4A;6A;8A;10A;12A;4B;6B;8B;10B;12B;;;','Q',120); END IF; END $$;</v>
      </c>
    </row>
    <row r="124" spans="1:29" x14ac:dyDescent="0.25">
      <c r="A124" s="61"/>
      <c r="B124">
        <v>121</v>
      </c>
      <c r="C124" s="11"/>
      <c r="D124">
        <v>104</v>
      </c>
      <c r="E124" s="30" t="s">
        <v>22</v>
      </c>
      <c r="F124" s="39" t="s">
        <v>43</v>
      </c>
      <c r="G124" s="39"/>
      <c r="K124" s="4" t="s">
        <v>57</v>
      </c>
      <c r="L124" s="4" t="s">
        <v>55</v>
      </c>
      <c r="M124" s="4" t="s">
        <v>56</v>
      </c>
      <c r="N124" s="4" t="s">
        <v>62</v>
      </c>
      <c r="O124" s="4" t="s">
        <v>63</v>
      </c>
      <c r="P124" s="4" t="s">
        <v>64</v>
      </c>
      <c r="Q124" s="4" t="s">
        <v>65</v>
      </c>
      <c r="R124" s="4" t="s">
        <v>66</v>
      </c>
      <c r="S124" s="4" t="s">
        <v>67</v>
      </c>
      <c r="T124" s="4" t="s">
        <v>68</v>
      </c>
      <c r="U124" s="4" t="s">
        <v>69</v>
      </c>
      <c r="V124" s="4" t="s">
        <v>70</v>
      </c>
      <c r="W124" s="4" t="s">
        <v>71</v>
      </c>
      <c r="X124" s="4" t="s">
        <v>72</v>
      </c>
      <c r="AB124" t="str">
        <f t="shared" si="3"/>
        <v>;;J0;J.;O.;N.;4A;6A;8A;10A;12A;4B;6B;8B;10B;12B;;;</v>
      </c>
      <c r="AC124" t="str">
        <f t="shared" si="2"/>
        <v>do $$ begin IF EXISTS (SELECT 1 FROM operace WHERE operace_id = 104) THEN update operace set kod = 'Q', nazev = 'Leptání alkalické ', popis = '', filtr = ';;J0;J.;O.;N.;4A;6A;8A;10A;12A;4B;6B;8B;10B;12B;;;', poradi = 121 where operace_id = 104; ELSE INSERT INTO OPERACE (operace_id, nazev, popis, filtr, kod, poradi) VALUES (104,'Leptání alkalické ','',';;J0;J.;O.;N.;4A;6A;8A;10A;12A;4B;6B;8B;10B;12B;;;','Q',121); END IF; END $$;</v>
      </c>
    </row>
    <row r="125" spans="1:29" x14ac:dyDescent="0.25">
      <c r="A125" s="61"/>
      <c r="B125">
        <v>122</v>
      </c>
      <c r="C125" s="11"/>
      <c r="D125" s="28">
        <v>105</v>
      </c>
      <c r="E125" s="29" t="s">
        <v>124</v>
      </c>
      <c r="F125" s="35" t="s">
        <v>43</v>
      </c>
      <c r="G125" s="35"/>
      <c r="K125" s="4" t="s">
        <v>57</v>
      </c>
      <c r="L125" s="4" t="s">
        <v>55</v>
      </c>
      <c r="M125" s="4" t="s">
        <v>56</v>
      </c>
      <c r="N125" s="4" t="s">
        <v>62</v>
      </c>
      <c r="O125" s="4" t="s">
        <v>63</v>
      </c>
      <c r="P125" s="4" t="s">
        <v>64</v>
      </c>
      <c r="Q125" s="4" t="s">
        <v>65</v>
      </c>
      <c r="R125" s="4" t="s">
        <v>66</v>
      </c>
      <c r="S125" s="4" t="s">
        <v>67</v>
      </c>
      <c r="T125" s="4" t="s">
        <v>68</v>
      </c>
      <c r="U125" s="4" t="s">
        <v>69</v>
      </c>
      <c r="V125" s="4" t="s">
        <v>70</v>
      </c>
      <c r="W125" s="4" t="s">
        <v>71</v>
      </c>
      <c r="X125" s="4" t="s">
        <v>72</v>
      </c>
      <c r="AB125" t="str">
        <f t="shared" si="3"/>
        <v>;;J0;J.;O.;N.;4A;6A;8A;10A;12A;4B;6B;8B;10B;12B;;;</v>
      </c>
      <c r="AC125" t="str">
        <f t="shared" si="2"/>
        <v>do $$ begin IF EXISTS (SELECT 1 FROM operace WHERE operace_id = 105) THEN update operace set kod = 'Q', nazev = 'Kontrola po celoplošném galvanickém zlacení', popis = '', filtr = ';;J0;J.;O.;N.;4A;6A;8A;10A;12A;4B;6B;8B;10B;12B;;;', poradi = 122 where operace_id = 105; ELSE INSERT INTO OPERACE (operace_id, nazev, popis, filtr, kod, poradi) VALUES (105,'Kontrola po celoplošném galvanickém zlacení','',';;J0;J.;O.;N.;4A;6A;8A;10A;12A;4B;6B;8B;10B;12B;;;','Q',122); END IF; END $$;</v>
      </c>
    </row>
    <row r="126" spans="1:29" x14ac:dyDescent="0.25">
      <c r="A126" s="63" t="s">
        <v>46</v>
      </c>
      <c r="B126">
        <v>123</v>
      </c>
      <c r="C126" s="28"/>
      <c r="D126" s="28">
        <v>107</v>
      </c>
      <c r="E126" s="29" t="s">
        <v>78</v>
      </c>
      <c r="F126" s="35" t="s">
        <v>46</v>
      </c>
      <c r="G126" s="35"/>
      <c r="K126" s="4" t="s">
        <v>57</v>
      </c>
      <c r="L126" s="4" t="s">
        <v>55</v>
      </c>
      <c r="M126" s="4" t="s">
        <v>56</v>
      </c>
      <c r="N126" s="4" t="s">
        <v>62</v>
      </c>
      <c r="O126" s="4" t="s">
        <v>63</v>
      </c>
      <c r="P126" s="4" t="s">
        <v>64</v>
      </c>
      <c r="Q126" s="4" t="s">
        <v>65</v>
      </c>
      <c r="R126" s="4" t="s">
        <v>66</v>
      </c>
      <c r="S126" s="4" t="s">
        <v>67</v>
      </c>
      <c r="T126" s="4" t="s">
        <v>68</v>
      </c>
      <c r="U126" s="4" t="s">
        <v>69</v>
      </c>
      <c r="V126" s="4" t="s">
        <v>70</v>
      </c>
      <c r="W126" s="4" t="s">
        <v>71</v>
      </c>
      <c r="X126" s="4" t="s">
        <v>72</v>
      </c>
      <c r="AB126" t="str">
        <f t="shared" si="3"/>
        <v>;;J0;J.;O.;N.;4A;6A;8A;10A;12A;4B;6B;8B;10B;12B;;;</v>
      </c>
      <c r="AC126" t="str">
        <f t="shared" si="2"/>
        <v>do $$ begin IF EXISTS (SELECT 1 FROM operace WHERE operace_id = 107) THEN update operace set kod = 'Z', nazev = 'Navalení fotoresistu před pokovením konektoru', popis = '', filtr = ';;J0;J.;O.;N.;4A;6A;8A;10A;12A;4B;6B;8B;10B;12B;;;', poradi = 123 where operace_id = 107; ELSE INSERT INTO OPERACE (operace_id, nazev, popis, filtr, kod, poradi) VALUES (107,'Navalení fotoresistu před pokovením konektoru','',';;J0;J.;O.;N.;4A;6A;8A;10A;12A;4B;6B;8B;10B;12B;;;','Z',123); END IF; END $$;</v>
      </c>
    </row>
    <row r="127" spans="1:29" x14ac:dyDescent="0.25">
      <c r="A127" s="61"/>
      <c r="B127">
        <v>124</v>
      </c>
      <c r="C127" s="11"/>
      <c r="D127">
        <v>108</v>
      </c>
      <c r="E127" s="29" t="s">
        <v>32</v>
      </c>
      <c r="F127" s="35" t="s">
        <v>46</v>
      </c>
      <c r="G127" s="35"/>
      <c r="K127" s="4" t="s">
        <v>57</v>
      </c>
      <c r="L127" s="4" t="s">
        <v>55</v>
      </c>
      <c r="M127" s="4" t="s">
        <v>56</v>
      </c>
      <c r="N127" s="4" t="s">
        <v>62</v>
      </c>
      <c r="O127" s="4" t="s">
        <v>63</v>
      </c>
      <c r="P127" s="4" t="s">
        <v>64</v>
      </c>
      <c r="Q127" s="4" t="s">
        <v>65</v>
      </c>
      <c r="R127" s="4" t="s">
        <v>66</v>
      </c>
      <c r="S127" s="4" t="s">
        <v>67</v>
      </c>
      <c r="T127" s="4" t="s">
        <v>68</v>
      </c>
      <c r="U127" s="4" t="s">
        <v>69</v>
      </c>
      <c r="V127" s="4" t="s">
        <v>70</v>
      </c>
      <c r="W127" s="4" t="s">
        <v>71</v>
      </c>
      <c r="X127" s="4" t="s">
        <v>72</v>
      </c>
      <c r="AB127" t="str">
        <f t="shared" si="3"/>
        <v>;;J0;J.;O.;N.;4A;6A;8A;10A;12A;4B;6B;8B;10B;12B;;;</v>
      </c>
      <c r="AC127" t="str">
        <f t="shared" si="2"/>
        <v>do $$ begin IF EXISTS (SELECT 1 FROM operace WHERE operace_id = 108) THEN update operace set kod = 'Z', nazev = 'Vytvoření motivu pro pokovení konektoru', popis = '', filtr = ';;J0;J.;O.;N.;4A;6A;8A;10A;12A;4B;6B;8B;10B;12B;;;', poradi = 124 where operace_id = 108; ELSE INSERT INTO OPERACE (operace_id, nazev, popis, filtr, kod, poradi) VALUES (108,'Vytvoření motivu pro pokovení konektoru','',';;J0;J.;O.;N.;4A;6A;8A;10A;12A;4B;6B;8B;10B;12B;;;','Z',124); END IF; END $$;</v>
      </c>
    </row>
    <row r="128" spans="1:29" x14ac:dyDescent="0.25">
      <c r="A128" s="61"/>
      <c r="B128">
        <v>125</v>
      </c>
      <c r="C128" s="11"/>
      <c r="D128" s="28">
        <v>109</v>
      </c>
      <c r="E128" s="29" t="s">
        <v>74</v>
      </c>
      <c r="F128" s="35" t="s">
        <v>46</v>
      </c>
      <c r="G128" s="35"/>
      <c r="K128" s="4" t="s">
        <v>57</v>
      </c>
      <c r="L128" s="4" t="s">
        <v>55</v>
      </c>
      <c r="M128" s="4" t="s">
        <v>56</v>
      </c>
      <c r="N128" s="4" t="s">
        <v>62</v>
      </c>
      <c r="O128" s="4" t="s">
        <v>63</v>
      </c>
      <c r="P128" s="4" t="s">
        <v>64</v>
      </c>
      <c r="Q128" s="4" t="s">
        <v>65</v>
      </c>
      <c r="R128" s="4" t="s">
        <v>66</v>
      </c>
      <c r="S128" s="4" t="s">
        <v>67</v>
      </c>
      <c r="T128" s="4" t="s">
        <v>68</v>
      </c>
      <c r="U128" s="4" t="s">
        <v>69</v>
      </c>
      <c r="V128" s="4" t="s">
        <v>70</v>
      </c>
      <c r="W128" s="4" t="s">
        <v>71</v>
      </c>
      <c r="X128" s="4" t="s">
        <v>72</v>
      </c>
      <c r="AB128" t="str">
        <f t="shared" si="3"/>
        <v>;;J0;J.;O.;N.;4A;6A;8A;10A;12A;4B;6B;8B;10B;12B;;;</v>
      </c>
      <c r="AC128" t="str">
        <f t="shared" si="2"/>
        <v>do $$ begin IF EXISTS (SELECT 1 FROM operace WHERE operace_id = 109) THEN update operace set kod = 'Z', nazev = 'Kontrola a retuš krycího fotoresistu pro konektory', popis = '', filtr = ';;J0;J.;O.;N.;4A;6A;8A;10A;12A;4B;6B;8B;10B;12B;;;', poradi = 125 where operace_id = 109; ELSE INSERT INTO OPERACE (operace_id, nazev, popis, filtr, kod, poradi) VALUES (109,'Kontrola a retuš krycího fotoresistu pro konektory','',';;J0;J.;O.;N.;4A;6A;8A;10A;12A;4B;6B;8B;10B;12B;;;','Z',125); END IF; END $$;</v>
      </c>
    </row>
    <row r="129" spans="1:29" x14ac:dyDescent="0.25">
      <c r="A129" s="61"/>
      <c r="B129">
        <v>126</v>
      </c>
      <c r="C129" s="11"/>
      <c r="D129">
        <v>110</v>
      </c>
      <c r="E129" s="29" t="s">
        <v>218</v>
      </c>
      <c r="F129" s="35" t="s">
        <v>46</v>
      </c>
      <c r="G129" s="35"/>
      <c r="K129" s="4" t="s">
        <v>57</v>
      </c>
      <c r="L129" s="4" t="s">
        <v>55</v>
      </c>
      <c r="M129" s="4" t="s">
        <v>56</v>
      </c>
      <c r="N129" s="4" t="s">
        <v>62</v>
      </c>
      <c r="O129" s="4" t="s">
        <v>63</v>
      </c>
      <c r="P129" s="4" t="s">
        <v>64</v>
      </c>
      <c r="Q129" s="4" t="s">
        <v>65</v>
      </c>
      <c r="R129" s="4" t="s">
        <v>66</v>
      </c>
      <c r="S129" s="4" t="s">
        <v>67</v>
      </c>
      <c r="T129" s="4" t="s">
        <v>68</v>
      </c>
      <c r="U129" s="4" t="s">
        <v>69</v>
      </c>
      <c r="V129" s="4" t="s">
        <v>70</v>
      </c>
      <c r="W129" s="4" t="s">
        <v>71</v>
      </c>
      <c r="X129" s="4" t="s">
        <v>72</v>
      </c>
      <c r="AB129" t="str">
        <f t="shared" si="3"/>
        <v>;;J0;J.;O.;N.;4A;6A;8A;10A;12A;4B;6B;8B;10B;12B;;;</v>
      </c>
      <c r="AC129" t="str">
        <f t="shared" si="2"/>
        <v>do $$ begin IF EXISTS (SELECT 1 FROM operace WHERE operace_id = 110) THEN update operace set kod = 'Z', nazev = 'Galvanické zlacení přímých konektorů', popis = '', filtr = ';;J0;J.;O.;N.;4A;6A;8A;10A;12A;4B;6B;8B;10B;12B;;;', poradi = 126 where operace_id = 110; ELSE INSERT INTO OPERACE (operace_id, nazev, popis, filtr, kod, poradi) VALUES (110,'Galvanické zlacení přímých konektorů','',';;J0;J.;O.;N.;4A;6A;8A;10A;12A;4B;6B;8B;10B;12B;;;','Z',126); END IF; END $$;</v>
      </c>
    </row>
    <row r="130" spans="1:29" x14ac:dyDescent="0.25">
      <c r="A130" s="61"/>
      <c r="B130">
        <v>127</v>
      </c>
      <c r="C130" s="11"/>
      <c r="D130" s="28">
        <v>111</v>
      </c>
      <c r="E130" s="30" t="s">
        <v>79</v>
      </c>
      <c r="F130" s="39" t="s">
        <v>46</v>
      </c>
      <c r="G130" s="39"/>
      <c r="K130" s="4" t="s">
        <v>57</v>
      </c>
      <c r="L130" s="4" t="s">
        <v>55</v>
      </c>
      <c r="M130" s="4" t="s">
        <v>56</v>
      </c>
      <c r="N130" s="4" t="s">
        <v>62</v>
      </c>
      <c r="O130" s="4" t="s">
        <v>63</v>
      </c>
      <c r="P130" s="4" t="s">
        <v>64</v>
      </c>
      <c r="Q130" s="4" t="s">
        <v>65</v>
      </c>
      <c r="R130" s="4" t="s">
        <v>66</v>
      </c>
      <c r="S130" s="4" t="s">
        <v>67</v>
      </c>
      <c r="T130" s="4" t="s">
        <v>68</v>
      </c>
      <c r="U130" s="4" t="s">
        <v>69</v>
      </c>
      <c r="V130" s="4" t="s">
        <v>70</v>
      </c>
      <c r="W130" s="4" t="s">
        <v>71</v>
      </c>
      <c r="X130" s="4" t="s">
        <v>72</v>
      </c>
      <c r="AB130" t="str">
        <f t="shared" si="3"/>
        <v>;;J0;J.;O.;N.;4A;6A;8A;10A;12A;4B;6B;8B;10B;12B;;;</v>
      </c>
      <c r="AC130" t="str">
        <f t="shared" si="2"/>
        <v>do $$ begin IF EXISTS (SELECT 1 FROM operace WHERE operace_id = 111) THEN update operace set kod = 'Z', nazev = 'Stripování fotorezistu', popis = '', filtr = ';;J0;J.;O.;N.;4A;6A;8A;10A;12A;4B;6B;8B;10B;12B;;;', poradi = 127 where operace_id = 111; ELSE INSERT INTO OPERACE (operace_id, nazev, popis, filtr, kod, poradi) VALUES (111,'Stripování fotorezistu','',';;J0;J.;O.;N.;4A;6A;8A;10A;12A;4B;6B;8B;10B;12B;;;','Z',127); END IF; END $$;</v>
      </c>
    </row>
    <row r="131" spans="1:29" x14ac:dyDescent="0.25">
      <c r="A131" s="61"/>
      <c r="B131" t="s">
        <v>302</v>
      </c>
      <c r="C131" s="11"/>
      <c r="D131">
        <v>112</v>
      </c>
      <c r="E131" s="1" t="s">
        <v>310</v>
      </c>
      <c r="F131" s="35" t="s">
        <v>295</v>
      </c>
      <c r="G131" s="35"/>
      <c r="H131" t="s">
        <v>171</v>
      </c>
      <c r="K131" s="4"/>
      <c r="L131" s="4"/>
      <c r="M131" s="4" t="s">
        <v>56</v>
      </c>
      <c r="N131" s="4" t="s">
        <v>62</v>
      </c>
      <c r="O131" s="4" t="s">
        <v>63</v>
      </c>
      <c r="P131" s="4" t="s">
        <v>64</v>
      </c>
      <c r="Q131" s="4" t="s">
        <v>65</v>
      </c>
      <c r="R131" s="4" t="s">
        <v>66</v>
      </c>
      <c r="S131" s="4" t="s">
        <v>67</v>
      </c>
      <c r="T131" s="4" t="s">
        <v>68</v>
      </c>
      <c r="U131" s="4" t="s">
        <v>69</v>
      </c>
      <c r="V131" s="4" t="s">
        <v>70</v>
      </c>
      <c r="W131" s="4" t="s">
        <v>71</v>
      </c>
      <c r="X131" s="4" t="s">
        <v>72</v>
      </c>
      <c r="Y131" s="4"/>
      <c r="AB131" t="str">
        <f t="shared" si="3"/>
        <v>;;;;O.;N.;4A;6A;8A;10A;12A;4B;6B;8B;10B;12B;;;</v>
      </c>
      <c r="AC131" t="str">
        <f t="shared" ref="AC131:AC194" si="4">CONCATENATE($AC$1,D131,") THEN update operace set kod = '",F131,"', nazev = '",E131,"', popis = '",H131,"', filtr = '",AB131,"', poradi = ",B131," where operace_id = ",D131,"; ELSE INSERT INTO OPERACE (operace_id, nazev, popis, filtr, kod, poradi) VALUES (", D131,",'",E131,"','",H131,"','",AB131,"','",F131,"',",B131,"); END IF; END $$;" )</f>
        <v>do $$ begin IF EXISTS (SELECT 1 FROM operace WHERE operace_id = 112) THEN update operace set kod = 'PA', nazev = 'Potisk NEWPRINT {strana}', popis = 'newprint', filtr = ';;;;O.;N.;4A;6A;8A;10A;12A;4B;6B;8B;10B;12B;;;', poradi = 128.0 where operace_id = 112; ELSE INSERT INTO OPERACE (operace_id, nazev, popis, filtr, kod, poradi) VALUES (112,'Potisk NEWPRINT {strana}','newprint',';;;;O.;N.;4A;6A;8A;10A;12A;4B;6B;8B;10B;12B;;;','PA',128.0); END IF; END $$;</v>
      </c>
    </row>
    <row r="132" spans="1:29" x14ac:dyDescent="0.25">
      <c r="A132" s="61"/>
      <c r="B132">
        <v>129</v>
      </c>
      <c r="C132" s="11"/>
      <c r="D132" s="28">
        <v>113</v>
      </c>
      <c r="E132" s="34" t="s">
        <v>33</v>
      </c>
      <c r="F132" s="35" t="s">
        <v>46</v>
      </c>
      <c r="G132" s="35"/>
      <c r="K132" s="4" t="s">
        <v>57</v>
      </c>
      <c r="L132" s="4" t="s">
        <v>55</v>
      </c>
      <c r="M132" s="4" t="s">
        <v>56</v>
      </c>
      <c r="N132" s="4" t="s">
        <v>62</v>
      </c>
      <c r="O132" s="4" t="s">
        <v>63</v>
      </c>
      <c r="P132" s="4" t="s">
        <v>64</v>
      </c>
      <c r="Q132" s="4" t="s">
        <v>65</v>
      </c>
      <c r="R132" s="4" t="s">
        <v>66</v>
      </c>
      <c r="S132" s="4" t="s">
        <v>67</v>
      </c>
      <c r="T132" s="4" t="s">
        <v>68</v>
      </c>
      <c r="U132" s="4" t="s">
        <v>69</v>
      </c>
      <c r="V132" s="4" t="s">
        <v>70</v>
      </c>
      <c r="W132" s="4" t="s">
        <v>71</v>
      </c>
      <c r="X132" s="4" t="s">
        <v>72</v>
      </c>
      <c r="AB132" t="str">
        <f t="shared" si="3"/>
        <v>;;J0;J.;O.;N.;4A;6A;8A;10A;12A;4B;6B;8B;10B;12B;;;</v>
      </c>
      <c r="AC132" t="str">
        <f t="shared" si="4"/>
        <v>do $$ begin IF EXISTS (SELECT 1 FROM operace WHERE operace_id = 113) THEN update operace set kod = 'Z', nazev = 'Kontrola zlacení konektorů', popis = '', filtr = ';;J0;J.;O.;N.;4A;6A;8A;10A;12A;4B;6B;8B;10B;12B;;;', poradi = 129 where operace_id = 113; ELSE INSERT INTO OPERACE (operace_id, nazev, popis, filtr, kod, poradi) VALUES (113,'Kontrola zlacení konektorů','',';;J0;J.;O.;N.;4A;6A;8A;10A;12A;4B;6B;8B;10B;12B;;;','Z',129); END IF; END $$;</v>
      </c>
    </row>
    <row r="133" spans="1:29" x14ac:dyDescent="0.25">
      <c r="A133" s="61"/>
      <c r="B133">
        <v>130</v>
      </c>
      <c r="C133" s="11"/>
      <c r="D133" s="28">
        <v>911</v>
      </c>
      <c r="E133" s="34" t="s">
        <v>179</v>
      </c>
      <c r="F133" s="35" t="s">
        <v>46</v>
      </c>
      <c r="G133" s="35"/>
      <c r="H133" t="s">
        <v>180</v>
      </c>
      <c r="K133" s="4" t="s">
        <v>57</v>
      </c>
      <c r="L133" s="4" t="s">
        <v>55</v>
      </c>
      <c r="M133" s="4" t="s">
        <v>56</v>
      </c>
      <c r="N133" s="4" t="s">
        <v>62</v>
      </c>
      <c r="O133" s="4" t="s">
        <v>63</v>
      </c>
      <c r="P133" s="4" t="s">
        <v>64</v>
      </c>
      <c r="Q133" s="4" t="s">
        <v>65</v>
      </c>
      <c r="R133" s="4" t="s">
        <v>66</v>
      </c>
      <c r="S133" s="4" t="s">
        <v>67</v>
      </c>
      <c r="T133" s="4" t="s">
        <v>68</v>
      </c>
      <c r="U133" s="4" t="s">
        <v>69</v>
      </c>
      <c r="V133" s="4" t="s">
        <v>70</v>
      </c>
      <c r="W133" s="4" t="s">
        <v>71</v>
      </c>
      <c r="X133" s="4" t="s">
        <v>72</v>
      </c>
      <c r="AB133" t="str">
        <f t="shared" si="3"/>
        <v>;;J0;J.;O.;N.;4A;6A;8A;10A;12A;4B;6B;8B;10B;12B;;;</v>
      </c>
      <c r="AC133" t="str">
        <f t="shared" si="4"/>
        <v>do $$ begin IF EXISTS (SELECT 1 FROM operace WHERE operace_id = 911) THEN update operace set kod = 'Z', nazev = 'Zamaskování zlacených konektorů před HAL', popis = 'ZH', filtr = ';;J0;J.;O.;N.;4A;6A;8A;10A;12A;4B;6B;8B;10B;12B;;;', poradi = 130 where operace_id = 911; ELSE INSERT INTO OPERACE (operace_id, nazev, popis, filtr, kod, poradi) VALUES (911,'Zamaskování zlacených konektorů před HAL','ZH',';;J0;J.;O.;N.;4A;6A;8A;10A;12A;4B;6B;8B;10B;12B;;;','Z',130); END IF; END $$;</v>
      </c>
    </row>
    <row r="134" spans="1:29" x14ac:dyDescent="0.25">
      <c r="A134" s="63" t="s">
        <v>48</v>
      </c>
      <c r="B134">
        <v>131</v>
      </c>
      <c r="C134" s="28"/>
      <c r="D134" s="28">
        <v>124</v>
      </c>
      <c r="E134" s="30" t="s">
        <v>34</v>
      </c>
      <c r="F134" s="47" t="s">
        <v>48</v>
      </c>
      <c r="G134" s="39"/>
      <c r="K134" s="4" t="s">
        <v>57</v>
      </c>
      <c r="L134" s="4" t="s">
        <v>55</v>
      </c>
      <c r="M134" s="4" t="s">
        <v>56</v>
      </c>
      <c r="N134" s="4" t="s">
        <v>62</v>
      </c>
      <c r="O134" s="4" t="s">
        <v>63</v>
      </c>
      <c r="P134" s="4" t="s">
        <v>64</v>
      </c>
      <c r="Q134" s="4" t="s">
        <v>65</v>
      </c>
      <c r="R134" s="4" t="s">
        <v>66</v>
      </c>
      <c r="S134" s="4" t="s">
        <v>67</v>
      </c>
      <c r="T134" s="4" t="s">
        <v>68</v>
      </c>
      <c r="U134" s="4" t="s">
        <v>69</v>
      </c>
      <c r="V134" s="4" t="s">
        <v>70</v>
      </c>
      <c r="W134" s="4" t="s">
        <v>71</v>
      </c>
      <c r="X134" s="4" t="s">
        <v>72</v>
      </c>
      <c r="AB134" t="str">
        <f t="shared" ref="AB134:AB197" si="5">CONCATENATE(I134,";",J134,";",K134,";",L134,";",M134,";",N134,";",O134,";",P134,";",Q134,";",R134,";",S134,";",T134,";",U134,";",V134,";",W134,";",X134,";",Y134,";",Z134,";",AA134)</f>
        <v>;;J0;J.;O.;N.;4A;6A;8A;10A;12A;4B;6B;8B;10B;12B;;;</v>
      </c>
      <c r="AC134" t="str">
        <f t="shared" si="4"/>
        <v>do $$ begin IF EXISTS (SELECT 1 FROM operace WHERE operace_id = 124) THEN update operace set kod = 'G', nazev = 'Stripování (striper cínu)', popis = '', filtr = ';;J0;J.;O.;N.;4A;6A;8A;10A;12A;4B;6B;8B;10B;12B;;;', poradi = 131 where operace_id = 124; ELSE INSERT INTO OPERACE (operace_id, nazev, popis, filtr, kod, poradi) VALUES (124,'Stripování (striper cínu)','',';;J0;J.;O.;N.;4A;6A;8A;10A;12A;4B;6B;8B;10B;12B;;;','G',131); END IF; END $$;</v>
      </c>
    </row>
    <row r="135" spans="1:29" x14ac:dyDescent="0.25">
      <c r="A135" s="61"/>
      <c r="B135">
        <v>132</v>
      </c>
      <c r="C135" s="11"/>
      <c r="D135" s="28">
        <v>125</v>
      </c>
      <c r="E135" s="30" t="s">
        <v>125</v>
      </c>
      <c r="F135" s="39" t="s">
        <v>48</v>
      </c>
      <c r="G135" s="39"/>
      <c r="K135" s="4" t="s">
        <v>57</v>
      </c>
      <c r="L135" s="4" t="s">
        <v>55</v>
      </c>
      <c r="M135" s="4" t="s">
        <v>56</v>
      </c>
      <c r="N135" s="4" t="s">
        <v>62</v>
      </c>
      <c r="O135" s="4" t="s">
        <v>63</v>
      </c>
      <c r="P135" s="4" t="s">
        <v>64</v>
      </c>
      <c r="Q135" s="4" t="s">
        <v>65</v>
      </c>
      <c r="R135" s="4" t="s">
        <v>66</v>
      </c>
      <c r="S135" s="4" t="s">
        <v>67</v>
      </c>
      <c r="T135" s="4" t="s">
        <v>68</v>
      </c>
      <c r="U135" s="4" t="s">
        <v>69</v>
      </c>
      <c r="V135" s="4" t="s">
        <v>70</v>
      </c>
      <c r="W135" s="4" t="s">
        <v>71</v>
      </c>
      <c r="X135" s="4" t="s">
        <v>72</v>
      </c>
      <c r="AB135" t="str">
        <f t="shared" si="5"/>
        <v>;;J0;J.;O.;N.;4A;6A;8A;10A;12A;4B;6B;8B;10B;12B;;;</v>
      </c>
      <c r="AC135" t="str">
        <f t="shared" si="4"/>
        <v>do $$ begin IF EXISTS (SELECT 1 FROM operace WHERE operace_id = 125) THEN update operace set kod = 'G', nazev = 'Nanesení organického povlaku', popis = '', filtr = ';;J0;J.;O.;N.;4A;6A;8A;10A;12A;4B;6B;8B;10B;12B;;;', poradi = 132 where operace_id = 125; ELSE INSERT INTO OPERACE (operace_id, nazev, popis, filtr, kod, poradi) VALUES (125,'Nanesení organického povlaku','',';;J0;J.;O.;N.;4A;6A;8A;10A;12A;4B;6B;8B;10B;12B;;;','G',132); END IF; END $$;</v>
      </c>
    </row>
    <row r="136" spans="1:29" x14ac:dyDescent="0.25">
      <c r="A136" s="61"/>
      <c r="B136">
        <v>133</v>
      </c>
      <c r="C136" s="11"/>
      <c r="D136">
        <v>126</v>
      </c>
      <c r="E136" s="32" t="s">
        <v>126</v>
      </c>
      <c r="F136" s="39" t="s">
        <v>48</v>
      </c>
      <c r="G136" s="39"/>
      <c r="K136" s="4" t="s">
        <v>57</v>
      </c>
      <c r="L136" s="4" t="s">
        <v>55</v>
      </c>
      <c r="M136" s="4" t="s">
        <v>56</v>
      </c>
      <c r="N136" s="4" t="s">
        <v>62</v>
      </c>
      <c r="O136" s="4" t="s">
        <v>63</v>
      </c>
      <c r="P136" s="4" t="s">
        <v>64</v>
      </c>
      <c r="Q136" s="4" t="s">
        <v>65</v>
      </c>
      <c r="R136" s="4" t="s">
        <v>66</v>
      </c>
      <c r="S136" s="4" t="s">
        <v>67</v>
      </c>
      <c r="T136" s="4" t="s">
        <v>68</v>
      </c>
      <c r="U136" s="4" t="s">
        <v>69</v>
      </c>
      <c r="V136" s="4" t="s">
        <v>70</v>
      </c>
      <c r="W136" s="4" t="s">
        <v>71</v>
      </c>
      <c r="X136" s="4" t="s">
        <v>72</v>
      </c>
      <c r="AB136" t="str">
        <f t="shared" si="5"/>
        <v>;;J0;J.;O.;N.;4A;6A;8A;10A;12A;4B;6B;8B;10B;12B;;;</v>
      </c>
      <c r="AC136" t="str">
        <f t="shared" si="4"/>
        <v>do $$ begin IF EXISTS (SELECT 1 FROM operace WHERE operace_id = 126) THEN update operace set kod = 'G', nazev = 'Kontrola po organickém povlaku', popis = '', filtr = ';;J0;J.;O.;N.;4A;6A;8A;10A;12A;4B;6B;8B;10B;12B;;;', poradi = 133 where operace_id = 126; ELSE INSERT INTO OPERACE (operace_id, nazev, popis, filtr, kod, poradi) VALUES (126,'Kontrola po organickém povlaku','',';;J0;J.;O.;N.;4A;6A;8A;10A;12A;4B;6B;8B;10B;12B;;;','G',133); END IF; END $$;</v>
      </c>
    </row>
    <row r="137" spans="1:29" x14ac:dyDescent="0.25">
      <c r="A137" s="61" t="s">
        <v>47</v>
      </c>
      <c r="B137">
        <v>134</v>
      </c>
      <c r="C137" s="11"/>
      <c r="D137">
        <v>144</v>
      </c>
      <c r="E137" s="34" t="s">
        <v>344</v>
      </c>
      <c r="F137" s="39" t="s">
        <v>47</v>
      </c>
      <c r="G137" s="39"/>
      <c r="K137" s="4" t="s">
        <v>61</v>
      </c>
      <c r="L137" s="4" t="s">
        <v>55</v>
      </c>
      <c r="M137" s="4" t="s">
        <v>56</v>
      </c>
      <c r="N137" s="4" t="s">
        <v>62</v>
      </c>
      <c r="O137" s="4" t="s">
        <v>63</v>
      </c>
      <c r="P137" s="4" t="s">
        <v>64</v>
      </c>
      <c r="Q137" s="4" t="s">
        <v>65</v>
      </c>
      <c r="R137" s="4" t="s">
        <v>66</v>
      </c>
      <c r="S137" s="4" t="s">
        <v>67</v>
      </c>
      <c r="T137" s="4" t="s">
        <v>68</v>
      </c>
      <c r="U137" s="4" t="s">
        <v>69</v>
      </c>
      <c r="V137" s="4" t="s">
        <v>70</v>
      </c>
      <c r="W137" s="4" t="s">
        <v>71</v>
      </c>
      <c r="X137" s="4" t="s">
        <v>72</v>
      </c>
      <c r="AB137" t="str">
        <f t="shared" si="5"/>
        <v>;;J1;J.;O.;N.;4A;6A;8A;10A;12A;4B;6B;8B;10B;12B;;;</v>
      </c>
      <c r="AC137" t="str">
        <f t="shared" si="4"/>
        <v>do $$ begin IF EXISTS (SELECT 1 FROM operace WHERE operace_id = 144) THEN update operace set kod = 'T', nazev = 'Fazetování konektorů - V-fréza', popis = '', filtr = ';;J1;J.;O.;N.;4A;6A;8A;10A;12A;4B;6B;8B;10B;12B;;;', poradi = 134 where operace_id = 144; ELSE INSERT INTO OPERACE (operace_id, nazev, popis, filtr, kod, poradi) VALUES (144,'Fazetování konektorů - V-fréza','',';;J1;J.;O.;N.;4A;6A;8A;10A;12A;4B;6B;8B;10B;12B;;;','T',134); END IF; END $$;</v>
      </c>
    </row>
    <row r="138" spans="1:29" x14ac:dyDescent="0.25">
      <c r="A138" s="61" t="s">
        <v>47</v>
      </c>
      <c r="B138">
        <v>135</v>
      </c>
      <c r="C138" s="11"/>
      <c r="D138">
        <v>2105</v>
      </c>
      <c r="E138" s="34" t="s">
        <v>193</v>
      </c>
      <c r="F138" s="39" t="s">
        <v>47</v>
      </c>
      <c r="G138" s="39"/>
      <c r="K138" s="4" t="s">
        <v>61</v>
      </c>
      <c r="L138" s="4" t="s">
        <v>55</v>
      </c>
      <c r="M138" s="4" t="s">
        <v>56</v>
      </c>
      <c r="N138" s="4" t="s">
        <v>62</v>
      </c>
      <c r="O138" s="4" t="s">
        <v>63</v>
      </c>
      <c r="P138" s="4" t="s">
        <v>64</v>
      </c>
      <c r="Q138" s="4" t="s">
        <v>65</v>
      </c>
      <c r="R138" s="4" t="s">
        <v>66</v>
      </c>
      <c r="S138" s="4" t="s">
        <v>67</v>
      </c>
      <c r="T138" s="4" t="s">
        <v>68</v>
      </c>
      <c r="U138" s="4" t="s">
        <v>69</v>
      </c>
      <c r="V138" s="4" t="s">
        <v>70</v>
      </c>
      <c r="W138" s="4" t="s">
        <v>71</v>
      </c>
      <c r="X138" s="4" t="s">
        <v>72</v>
      </c>
      <c r="AB138" t="str">
        <f t="shared" si="5"/>
        <v>;;J1;J.;O.;N.;4A;6A;8A;10A;12A;4B;6B;8B;10B;12B;;;</v>
      </c>
      <c r="AC138" t="str">
        <f t="shared" si="4"/>
        <v>do $$ begin IF EXISTS (SELECT 1 FROM operace WHERE operace_id = 2105) THEN update operace set kod = 'T', nazev = 'Frézování konektorů ', popis = '', filtr = ';;J1;J.;O.;N.;4A;6A;8A;10A;12A;4B;6B;8B;10B;12B;;;', poradi = 135 where operace_id = 2105; ELSE INSERT INTO OPERACE (operace_id, nazev, popis, filtr, kod, poradi) VALUES (2105,'Frézování konektorů ','',';;J1;J.;O.;N.;4A;6A;8A;10A;12A;4B;6B;8B;10B;12B;;;','T',135); END IF; END $$;</v>
      </c>
    </row>
    <row r="139" spans="1:29" ht="15.75" thickBot="1" x14ac:dyDescent="0.3">
      <c r="A139" s="63" t="s">
        <v>47</v>
      </c>
      <c r="B139">
        <v>136</v>
      </c>
      <c r="C139" s="28"/>
      <c r="D139" s="28">
        <v>116</v>
      </c>
      <c r="E139" s="34" t="s">
        <v>134</v>
      </c>
      <c r="F139" s="45" t="s">
        <v>47</v>
      </c>
      <c r="G139" s="45"/>
      <c r="H139" s="28"/>
      <c r="I139" s="11"/>
      <c r="J139" s="11"/>
      <c r="K139" s="4"/>
      <c r="L139" s="4"/>
      <c r="M139" s="4" t="s">
        <v>56</v>
      </c>
      <c r="N139" s="4"/>
      <c r="O139" s="4" t="s">
        <v>63</v>
      </c>
      <c r="P139" s="4" t="s">
        <v>64</v>
      </c>
      <c r="Q139" s="4" t="s">
        <v>65</v>
      </c>
      <c r="R139" s="4" t="s">
        <v>66</v>
      </c>
      <c r="S139" s="4" t="s">
        <v>67</v>
      </c>
      <c r="T139" s="4" t="s">
        <v>68</v>
      </c>
      <c r="U139" s="4" t="s">
        <v>69</v>
      </c>
      <c r="V139" s="4" t="s">
        <v>70</v>
      </c>
      <c r="W139" s="4" t="s">
        <v>71</v>
      </c>
      <c r="X139" s="4" t="s">
        <v>72</v>
      </c>
      <c r="AB139" t="str">
        <f t="shared" si="5"/>
        <v>;;;;O.;;4A;6A;8A;10A;12A;4B;6B;8B;10B;12B;;;</v>
      </c>
      <c r="AC139" t="str">
        <f t="shared" si="4"/>
        <v>do $$ begin IF EXISTS (SELECT 1 FROM operace WHERE operace_id = 116) THEN update operace set kod = 'T', nazev = 'Elektrický test', popis = '', filtr = ';;;;O.;;4A;6A;8A;10A;12A;4B;6B;8B;10B;12B;;;', poradi = 136 where operace_id = 116; ELSE INSERT INTO OPERACE (operace_id, nazev, popis, filtr, kod, poradi) VALUES (116,'Elektrický test','',';;;;O.;;4A;6A;8A;10A;12A;4B;6B;8B;10B;12B;;;','T',136); END IF; END $$;</v>
      </c>
    </row>
    <row r="140" spans="1:29" ht="15.75" thickBot="1" x14ac:dyDescent="0.3">
      <c r="A140" s="63" t="s">
        <v>196</v>
      </c>
      <c r="B140">
        <v>137</v>
      </c>
      <c r="C140" s="28"/>
      <c r="D140" s="28">
        <v>2100</v>
      </c>
      <c r="E140" s="53" t="s">
        <v>194</v>
      </c>
      <c r="F140" s="55" t="s">
        <v>196</v>
      </c>
      <c r="G140" s="54"/>
      <c r="H140" s="54"/>
      <c r="I140" s="59"/>
      <c r="J140" s="59"/>
      <c r="K140" s="4" t="s">
        <v>61</v>
      </c>
      <c r="L140" s="4" t="s">
        <v>55</v>
      </c>
      <c r="M140" s="4" t="s">
        <v>56</v>
      </c>
      <c r="N140" s="4" t="s">
        <v>62</v>
      </c>
      <c r="O140" s="4" t="s">
        <v>63</v>
      </c>
      <c r="P140" s="4" t="s">
        <v>64</v>
      </c>
      <c r="Q140" s="4" t="s">
        <v>65</v>
      </c>
      <c r="R140" s="4" t="s">
        <v>66</v>
      </c>
      <c r="S140" s="4" t="s">
        <v>67</v>
      </c>
      <c r="T140" s="4" t="s">
        <v>68</v>
      </c>
      <c r="U140" s="4" t="s">
        <v>69</v>
      </c>
      <c r="V140" s="4" t="s">
        <v>70</v>
      </c>
      <c r="W140" s="4" t="s">
        <v>71</v>
      </c>
      <c r="X140" s="4" t="s">
        <v>72</v>
      </c>
      <c r="AB140" t="str">
        <f t="shared" si="5"/>
        <v>;;J1;J.;O.;N.;4A;6A;8A;10A;12A;4B;6B;8B;10B;12B;;;</v>
      </c>
      <c r="AC140" t="str">
        <f t="shared" si="4"/>
        <v>do $$ begin IF EXISTS (SELECT 1 FROM operace WHERE operace_id = 2100) THEN update operace set kod = 'Y', nazev = 'Frézování panelu pro laserové značení', popis = '', filtr = ';;J1;J.;O.;N.;4A;6A;8A;10A;12A;4B;6B;8B;10B;12B;;;', poradi = 137 where operace_id = 2100; ELSE INSERT INTO OPERACE (operace_id, nazev, popis, filtr, kod, poradi) VALUES (2100,'Frézování panelu pro laserové značení','',';;J1;J.;O.;N.;4A;6A;8A;10A;12A;4B;6B;8B;10B;12B;;;','Y',137); END IF; END $$;</v>
      </c>
    </row>
    <row r="141" spans="1:29" ht="15.75" thickBot="1" x14ac:dyDescent="0.3">
      <c r="A141" s="63" t="s">
        <v>196</v>
      </c>
      <c r="B141">
        <v>138</v>
      </c>
      <c r="C141" s="28"/>
      <c r="D141" s="28">
        <v>2101</v>
      </c>
      <c r="E141" s="53" t="s">
        <v>195</v>
      </c>
      <c r="F141" s="55" t="s">
        <v>196</v>
      </c>
      <c r="G141" s="54"/>
      <c r="H141" s="54"/>
      <c r="I141" s="59"/>
      <c r="J141" s="59"/>
      <c r="K141" s="4" t="s">
        <v>61</v>
      </c>
      <c r="L141" s="4" t="s">
        <v>55</v>
      </c>
      <c r="M141" s="4" t="s">
        <v>56</v>
      </c>
      <c r="N141" s="4" t="s">
        <v>62</v>
      </c>
      <c r="O141" s="4" t="s">
        <v>63</v>
      </c>
      <c r="P141" s="4" t="s">
        <v>64</v>
      </c>
      <c r="Q141" s="4" t="s">
        <v>65</v>
      </c>
      <c r="R141" s="4" t="s">
        <v>66</v>
      </c>
      <c r="S141" s="4" t="s">
        <v>67</v>
      </c>
      <c r="T141" s="4" t="s">
        <v>68</v>
      </c>
      <c r="U141" s="4" t="s">
        <v>69</v>
      </c>
      <c r="V141" s="4" t="s">
        <v>70</v>
      </c>
      <c r="W141" s="4" t="s">
        <v>71</v>
      </c>
      <c r="X141" s="4" t="s">
        <v>72</v>
      </c>
      <c r="AB141" t="str">
        <f t="shared" si="5"/>
        <v>;;J1;J.;O.;N.;4A;6A;8A;10A;12A;4B;6B;8B;10B;12B;;;</v>
      </c>
      <c r="AC141" t="str">
        <f t="shared" si="4"/>
        <v>do $$ begin IF EXISTS (SELECT 1 FROM operace WHERE operace_id = 2101) THEN update operace set kod = 'Y', nazev = 'Laserové značení', popis = '', filtr = ';;J1;J.;O.;N.;4A;6A;8A;10A;12A;4B;6B;8B;10B;12B;;;', poradi = 138 where operace_id = 2101; ELSE INSERT INTO OPERACE (operace_id, nazev, popis, filtr, kod, poradi) VALUES (2101,'Laserové značení','',';;J1;J.;O.;N.;4A;6A;8A;10A;12A;4B;6B;8B;10B;12B;;;','Y',138); END IF; END $$;</v>
      </c>
    </row>
    <row r="142" spans="1:29" x14ac:dyDescent="0.25">
      <c r="A142" s="63" t="s">
        <v>196</v>
      </c>
      <c r="B142">
        <v>139</v>
      </c>
      <c r="C142" s="28"/>
      <c r="D142" s="28">
        <v>2102</v>
      </c>
      <c r="E142" s="51" t="s">
        <v>204</v>
      </c>
      <c r="F142" s="56" t="s">
        <v>196</v>
      </c>
      <c r="G142" s="52"/>
      <c r="H142" s="52"/>
      <c r="I142" s="59"/>
      <c r="J142" s="59"/>
      <c r="K142" s="4" t="s">
        <v>61</v>
      </c>
      <c r="L142" s="4" t="s">
        <v>55</v>
      </c>
      <c r="M142" s="4" t="s">
        <v>56</v>
      </c>
      <c r="N142" s="4" t="s">
        <v>62</v>
      </c>
      <c r="O142" s="4" t="s">
        <v>63</v>
      </c>
      <c r="P142" s="4" t="s">
        <v>64</v>
      </c>
      <c r="Q142" s="4" t="s">
        <v>65</v>
      </c>
      <c r="R142" s="4" t="s">
        <v>66</v>
      </c>
      <c r="S142" s="4" t="s">
        <v>67</v>
      </c>
      <c r="T142" s="4" t="s">
        <v>68</v>
      </c>
      <c r="U142" s="4" t="s">
        <v>69</v>
      </c>
      <c r="V142" s="4" t="s">
        <v>70</v>
      </c>
      <c r="W142" s="4" t="s">
        <v>71</v>
      </c>
      <c r="X142" s="4" t="s">
        <v>72</v>
      </c>
      <c r="AB142" t="str">
        <f t="shared" si="5"/>
        <v>;;J1;J.;O.;N.;4A;6A;8A;10A;12A;4B;6B;8B;10B;12B;;;</v>
      </c>
      <c r="AC142" t="str">
        <f t="shared" si="4"/>
        <v>do $$ begin IF EXISTS (SELECT 1 FROM operace WHERE operace_id = 2102) THEN update operace set kod = 'Y', nazev = 'Vrtání ', popis = '', filtr = ';;J1;J.;O.;N.;4A;6A;8A;10A;12A;4B;6B;8B;10B;12B;;;', poradi = 139 where operace_id = 2102; ELSE INSERT INTO OPERACE (operace_id, nazev, popis, filtr, kod, poradi) VALUES (2102,'Vrtání ','',';;J1;J.;O.;N.;4A;6A;8A;10A;12A;4B;6B;8B;10B;12B;;;','Y',139); END IF; END $$;</v>
      </c>
    </row>
    <row r="143" spans="1:29" x14ac:dyDescent="0.25">
      <c r="A143" s="63" t="s">
        <v>158</v>
      </c>
      <c r="B143">
        <v>140</v>
      </c>
      <c r="C143" s="28"/>
      <c r="D143" s="28">
        <v>127</v>
      </c>
      <c r="E143" s="30" t="s">
        <v>345</v>
      </c>
      <c r="F143" s="47" t="s">
        <v>169</v>
      </c>
      <c r="G143" s="47"/>
      <c r="H143" s="28"/>
      <c r="I143" s="11"/>
      <c r="J143" s="11"/>
      <c r="K143" s="4" t="s">
        <v>57</v>
      </c>
      <c r="L143" s="4" t="s">
        <v>55</v>
      </c>
      <c r="M143" s="4" t="s">
        <v>56</v>
      </c>
      <c r="N143" s="4" t="s">
        <v>62</v>
      </c>
      <c r="O143" s="4" t="s">
        <v>63</v>
      </c>
      <c r="P143" s="4" t="s">
        <v>64</v>
      </c>
      <c r="Q143" s="4" t="s">
        <v>65</v>
      </c>
      <c r="R143" s="4" t="s">
        <v>66</v>
      </c>
      <c r="S143" s="4" t="s">
        <v>67</v>
      </c>
      <c r="T143" s="4" t="s">
        <v>68</v>
      </c>
      <c r="U143" s="4" t="s">
        <v>69</v>
      </c>
      <c r="V143" s="4" t="s">
        <v>70</v>
      </c>
      <c r="W143" s="4" t="s">
        <v>71</v>
      </c>
      <c r="X143" s="4" t="s">
        <v>72</v>
      </c>
      <c r="AB143" t="str">
        <f t="shared" si="5"/>
        <v>;;J0;J.;O.;N.;4A;6A;8A;10A;12A;4B;6B;8B;10B;12B;;;</v>
      </c>
      <c r="AC143" t="str">
        <f t="shared" si="4"/>
        <v>do $$ begin IF EXISTS (SELECT 1 FROM operace WHERE operace_id = 127) THEN update operace set kod = 'SA;SB', nazev = 'Tisk snímatelné masky ', popis = '', filtr = ';;J0;J.;O.;N.;4A;6A;8A;10A;12A;4B;6B;8B;10B;12B;;;', poradi = 140 where operace_id = 127; ELSE INSERT INTO OPERACE (operace_id, nazev, popis, filtr, kod, poradi) VALUES (127,'Tisk snímatelné masky ','',';;J0;J.;O.;N.;4A;6A;8A;10A;12A;4B;6B;8B;10B;12B;;;','SA;SB',140); END IF; END $$;</v>
      </c>
    </row>
    <row r="144" spans="1:29" x14ac:dyDescent="0.25">
      <c r="A144" s="61"/>
      <c r="B144">
        <v>141</v>
      </c>
      <c r="C144" s="11"/>
      <c r="D144">
        <v>128</v>
      </c>
      <c r="E144" s="32" t="s">
        <v>346</v>
      </c>
      <c r="F144" s="39" t="s">
        <v>169</v>
      </c>
      <c r="G144" s="39"/>
      <c r="K144" s="4" t="s">
        <v>57</v>
      </c>
      <c r="L144" s="4" t="s">
        <v>55</v>
      </c>
      <c r="M144" s="4" t="s">
        <v>56</v>
      </c>
      <c r="N144" s="4" t="s">
        <v>62</v>
      </c>
      <c r="O144" s="4" t="s">
        <v>63</v>
      </c>
      <c r="P144" s="4" t="s">
        <v>64</v>
      </c>
      <c r="Q144" s="4" t="s">
        <v>65</v>
      </c>
      <c r="R144" s="4" t="s">
        <v>66</v>
      </c>
      <c r="S144" s="4" t="s">
        <v>67</v>
      </c>
      <c r="T144" s="4" t="s">
        <v>68</v>
      </c>
      <c r="U144" s="4" t="s">
        <v>69</v>
      </c>
      <c r="V144" s="4" t="s">
        <v>70</v>
      </c>
      <c r="W144" s="4" t="s">
        <v>71</v>
      </c>
      <c r="X144" s="4" t="s">
        <v>72</v>
      </c>
      <c r="AB144" t="str">
        <f t="shared" si="5"/>
        <v>;;J0;J.;O.;N.;4A;6A;8A;10A;12A;4B;6B;8B;10B;12B;;;</v>
      </c>
      <c r="AC144" t="str">
        <f t="shared" si="4"/>
        <v>do $$ begin IF EXISTS (SELECT 1 FROM operace WHERE operace_id = 128) THEN update operace set kod = 'SA;SB', nazev = 'Aplikace kaptonové pásky', popis = '', filtr = ';;J0;J.;O.;N.;4A;6A;8A;10A;12A;4B;6B;8B;10B;12B;;;', poradi = 141 where operace_id = 128; ELSE INSERT INTO OPERACE (operace_id, nazev, popis, filtr, kod, poradi) VALUES (128,'Aplikace kaptonové pásky','',';;J0;J.;O.;N.;4A;6A;8A;10A;12A;4B;6B;8B;10B;12B;;;','SA;SB',141); END IF; END $$;</v>
      </c>
    </row>
    <row r="145" spans="1:29" x14ac:dyDescent="0.25">
      <c r="A145" s="63" t="s">
        <v>159</v>
      </c>
      <c r="B145">
        <v>142</v>
      </c>
      <c r="C145" s="28"/>
      <c r="D145" s="28">
        <v>129</v>
      </c>
      <c r="E145" s="48" t="s">
        <v>347</v>
      </c>
      <c r="F145" s="39" t="s">
        <v>172</v>
      </c>
      <c r="G145" s="39"/>
      <c r="K145" s="4" t="s">
        <v>57</v>
      </c>
      <c r="L145" s="4" t="s">
        <v>55</v>
      </c>
      <c r="M145" s="4" t="s">
        <v>56</v>
      </c>
      <c r="N145" s="4" t="s">
        <v>62</v>
      </c>
      <c r="O145" s="4" t="s">
        <v>63</v>
      </c>
      <c r="P145" s="4" t="s">
        <v>64</v>
      </c>
      <c r="Q145" s="4" t="s">
        <v>65</v>
      </c>
      <c r="R145" s="4" t="s">
        <v>66</v>
      </c>
      <c r="S145" s="4" t="s">
        <v>67</v>
      </c>
      <c r="T145" s="4" t="s">
        <v>68</v>
      </c>
      <c r="U145" s="4" t="s">
        <v>69</v>
      </c>
      <c r="V145" s="4" t="s">
        <v>70</v>
      </c>
      <c r="W145" s="4" t="s">
        <v>71</v>
      </c>
      <c r="X145" s="4" t="s">
        <v>72</v>
      </c>
      <c r="AB145" t="str">
        <f t="shared" si="5"/>
        <v>;;J0;J.;O.;N.;4A;6A;8A;10A;12A;4B;6B;8B;10B;12B;;;</v>
      </c>
      <c r="AC145" t="str">
        <f t="shared" si="4"/>
        <v>do $$ begin IF EXISTS (SELECT 1 FROM operace WHERE operace_id = 129) THEN update operace set kod = 'V1A;V1B;V2X', nazev = 'Karbonová pasta na straně ', popis = '', filtr = ';;J0;J.;O.;N.;4A;6A;8A;10A;12A;4B;6B;8B;10B;12B;;;', poradi = 142 where operace_id = 129; ELSE INSERT INTO OPERACE (operace_id, nazev, popis, filtr, kod, poradi) VALUES (129,'Karbonová pasta na straně ','',';;J0;J.;O.;N.;4A;6A;8A;10A;12A;4B;6B;8B;10B;12B;;;','V1A;V1B;V2X',142); END IF; END $$;</v>
      </c>
    </row>
    <row r="146" spans="1:29" x14ac:dyDescent="0.25">
      <c r="A146" s="63" t="s">
        <v>51</v>
      </c>
      <c r="B146">
        <v>143</v>
      </c>
      <c r="C146" s="28"/>
      <c r="D146" s="28">
        <v>131</v>
      </c>
      <c r="E146" s="1" t="s">
        <v>200</v>
      </c>
      <c r="F146" s="45" t="s">
        <v>51</v>
      </c>
      <c r="G146" s="35"/>
      <c r="K146" s="4" t="s">
        <v>57</v>
      </c>
      <c r="L146" s="4" t="s">
        <v>55</v>
      </c>
      <c r="M146" s="4" t="s">
        <v>56</v>
      </c>
      <c r="N146" s="4" t="s">
        <v>62</v>
      </c>
      <c r="O146" s="4" t="s">
        <v>63</v>
      </c>
      <c r="P146" s="4" t="s">
        <v>64</v>
      </c>
      <c r="Q146" s="4" t="s">
        <v>65</v>
      </c>
      <c r="R146" s="4" t="s">
        <v>66</v>
      </c>
      <c r="S146" s="4" t="s">
        <v>67</v>
      </c>
      <c r="T146" s="4" t="s">
        <v>68</v>
      </c>
      <c r="U146" s="4" t="s">
        <v>69</v>
      </c>
      <c r="V146" s="4" t="s">
        <v>70</v>
      </c>
      <c r="W146" s="4" t="s">
        <v>71</v>
      </c>
      <c r="X146" s="4" t="s">
        <v>72</v>
      </c>
      <c r="AB146" t="str">
        <f t="shared" si="5"/>
        <v>;;J0;J.;O.;N.;4A;6A;8A;10A;12A;4B;6B;8B;10B;12B;;;</v>
      </c>
      <c r="AC146" t="str">
        <f t="shared" si="4"/>
        <v>do $$ begin IF EXISTS (SELECT 1 FROM operace WHERE operace_id = 131) THEN update operace set kod = 'D2', nazev = 'Drážkování + ponechat hrubý přířez', popis = '', filtr = ';;J0;J.;O.;N.;4A;6A;8A;10A;12A;4B;6B;8B;10B;12B;;;', poradi = 143 where operace_id = 131; ELSE INSERT INTO OPERACE (operace_id, nazev, popis, filtr, kod, poradi) VALUES (131,'Drážkování + ponechat hrubý přířez','',';;J0;J.;O.;N.;4A;6A;8A;10A;12A;4B;6B;8B;10B;12B;;;','D2',143); END IF; END $$;</v>
      </c>
    </row>
    <row r="147" spans="1:29" x14ac:dyDescent="0.25">
      <c r="A147" s="64" t="s">
        <v>50</v>
      </c>
      <c r="B147">
        <v>144</v>
      </c>
      <c r="D147">
        <v>132</v>
      </c>
      <c r="E147" s="1" t="s">
        <v>199</v>
      </c>
      <c r="F147" s="35" t="s">
        <v>50</v>
      </c>
      <c r="G147" s="35"/>
      <c r="H147" t="s">
        <v>176</v>
      </c>
      <c r="K147" s="4" t="s">
        <v>57</v>
      </c>
      <c r="L147" s="4" t="s">
        <v>55</v>
      </c>
      <c r="M147" s="4" t="s">
        <v>56</v>
      </c>
      <c r="N147" s="4" t="s">
        <v>62</v>
      </c>
      <c r="O147" s="4" t="s">
        <v>63</v>
      </c>
      <c r="P147" s="4" t="s">
        <v>64</v>
      </c>
      <c r="Q147" s="4" t="s">
        <v>65</v>
      </c>
      <c r="R147" s="4" t="s">
        <v>66</v>
      </c>
      <c r="S147" s="4" t="s">
        <v>67</v>
      </c>
      <c r="T147" s="4" t="s">
        <v>68</v>
      </c>
      <c r="U147" s="4" t="s">
        <v>69</v>
      </c>
      <c r="V147" s="4" t="s">
        <v>70</v>
      </c>
      <c r="W147" s="4" t="s">
        <v>71</v>
      </c>
      <c r="X147" s="4" t="s">
        <v>72</v>
      </c>
      <c r="AB147" t="str">
        <f t="shared" si="5"/>
        <v>;;J0;J.;O.;N.;4A;6A;8A;10A;12A;4B;6B;8B;10B;12B;;;</v>
      </c>
      <c r="AC147" t="str">
        <f t="shared" si="4"/>
        <v>do $$ begin IF EXISTS (SELECT 1 FROM operace WHERE operace_id = 132) THEN update operace set kod = 'D1', nazev = 'Drážkování + úprava na panel:', popis = '(zakaznický panel /ks)', filtr = ';;J0;J.;O.;N.;4A;6A;8A;10A;12A;4B;6B;8B;10B;12B;;;', poradi = 144 where operace_id = 132; ELSE INSERT INTO OPERACE (operace_id, nazev, popis, filtr, kod, poradi) VALUES (132,'Drážkování + úprava na panel:','(zakaznický panel /ks)',';;J0;J.;O.;N.;4A;6A;8A;10A;12A;4B;6B;8B;10B;12B;;;','D1',144); END IF; END $$;</v>
      </c>
    </row>
    <row r="148" spans="1:29" x14ac:dyDescent="0.25">
      <c r="A148" s="64" t="s">
        <v>52</v>
      </c>
      <c r="B148">
        <v>145</v>
      </c>
      <c r="C148" s="11"/>
      <c r="D148">
        <v>134</v>
      </c>
      <c r="E148" s="1" t="s">
        <v>201</v>
      </c>
      <c r="F148" s="35" t="s">
        <v>52</v>
      </c>
      <c r="G148" s="35"/>
      <c r="K148" s="4" t="s">
        <v>57</v>
      </c>
      <c r="L148" s="4" t="s">
        <v>55</v>
      </c>
      <c r="M148" s="4" t="s">
        <v>56</v>
      </c>
      <c r="N148" s="4" t="s">
        <v>62</v>
      </c>
      <c r="O148" s="4" t="s">
        <v>63</v>
      </c>
      <c r="P148" s="4" t="s">
        <v>64</v>
      </c>
      <c r="Q148" s="4" t="s">
        <v>65</v>
      </c>
      <c r="R148" s="4" t="s">
        <v>66</v>
      </c>
      <c r="S148" s="4" t="s">
        <v>67</v>
      </c>
      <c r="T148" s="4" t="s">
        <v>68</v>
      </c>
      <c r="U148" s="4" t="s">
        <v>69</v>
      </c>
      <c r="V148" s="4" t="s">
        <v>70</v>
      </c>
      <c r="W148" s="4" t="s">
        <v>71</v>
      </c>
      <c r="X148" s="4" t="s">
        <v>72</v>
      </c>
      <c r="AB148" t="str">
        <f t="shared" si="5"/>
        <v>;;J0;J.;O.;N.;4A;6A;8A;10A;12A;4B;6B;8B;10B;12B;;;</v>
      </c>
      <c r="AC148" t="str">
        <f t="shared" si="4"/>
        <v>do $$ begin IF EXISTS (SELECT 1 FROM operace WHERE operace_id = 134) THEN update operace set kod = 'D3', nazev = 'Drážkování + dělení na jednotlivé DPS', popis = '', filtr = ';;J0;J.;O.;N.;4A;6A;8A;10A;12A;4B;6B;8B;10B;12B;;;', poradi = 145 where operace_id = 134; ELSE INSERT INTO OPERACE (operace_id, nazev, popis, filtr, kod, poradi) VALUES (134,'Drážkování + dělení na jednotlivé DPS','',';;J0;J.;O.;N.;4A;6A;8A;10A;12A;4B;6B;8B;10B;12B;;;','D3',145); END IF; END $$;</v>
      </c>
    </row>
    <row r="149" spans="1:29" x14ac:dyDescent="0.25">
      <c r="A149" s="61" t="s">
        <v>49</v>
      </c>
      <c r="B149">
        <v>146</v>
      </c>
      <c r="C149" s="11"/>
      <c r="D149">
        <v>138</v>
      </c>
      <c r="E149" s="9" t="s">
        <v>203</v>
      </c>
      <c r="F149" s="39" t="s">
        <v>49</v>
      </c>
      <c r="G149" s="39"/>
      <c r="K149" s="4" t="s">
        <v>57</v>
      </c>
      <c r="L149" s="4" t="s">
        <v>55</v>
      </c>
      <c r="M149" s="4" t="s">
        <v>56</v>
      </c>
      <c r="N149" s="4" t="s">
        <v>62</v>
      </c>
      <c r="O149" s="4" t="s">
        <v>63</v>
      </c>
      <c r="P149" s="4" t="s">
        <v>64</v>
      </c>
      <c r="Q149" s="4" t="s">
        <v>65</v>
      </c>
      <c r="R149" s="4" t="s">
        <v>66</v>
      </c>
      <c r="S149" s="4" t="s">
        <v>67</v>
      </c>
      <c r="T149" s="4" t="s">
        <v>68</v>
      </c>
      <c r="U149" s="4" t="s">
        <v>69</v>
      </c>
      <c r="V149" s="4" t="s">
        <v>70</v>
      </c>
      <c r="W149" s="4" t="s">
        <v>71</v>
      </c>
      <c r="X149" s="4" t="s">
        <v>72</v>
      </c>
      <c r="AB149" t="str">
        <f t="shared" si="5"/>
        <v>;;J0;J.;O.;N.;4A;6A;8A;10A;12A;4B;6B;8B;10B;12B;;;</v>
      </c>
      <c r="AC149" t="str">
        <f t="shared" si="4"/>
        <v>do $$ begin IF EXISTS (SELECT 1 FROM operace WHERE operace_id = 138) THEN update operace set kod = 'F1', nazev = 'Frézování výřezů ', popis = '', filtr = ';;J0;J.;O.;N.;4A;6A;8A;10A;12A;4B;6B;8B;10B;12B;;;', poradi = 146 where operace_id = 138; ELSE INSERT INTO OPERACE (operace_id, nazev, popis, filtr, kod, poradi) VALUES (138,'Frézování výřezů ','',';;J0;J.;O.;N.;4A;6A;8A;10A;12A;4B;6B;8B;10B;12B;;;','F1',146); END IF; END $$;</v>
      </c>
    </row>
    <row r="150" spans="1:29" x14ac:dyDescent="0.25">
      <c r="A150" s="64" t="s">
        <v>53</v>
      </c>
      <c r="B150">
        <v>147</v>
      </c>
      <c r="C150" s="11"/>
      <c r="D150" s="28">
        <v>139</v>
      </c>
      <c r="E150" s="9" t="s">
        <v>202</v>
      </c>
      <c r="F150" s="39" t="s">
        <v>53</v>
      </c>
      <c r="G150" s="39"/>
      <c r="H150" t="s">
        <v>177</v>
      </c>
      <c r="K150" s="4" t="s">
        <v>57</v>
      </c>
      <c r="L150" s="4" t="s">
        <v>55</v>
      </c>
      <c r="M150" s="4" t="s">
        <v>56</v>
      </c>
      <c r="N150" s="4" t="s">
        <v>62</v>
      </c>
      <c r="O150" s="4" t="s">
        <v>63</v>
      </c>
      <c r="P150" s="4" t="s">
        <v>64</v>
      </c>
      <c r="Q150" s="4" t="s">
        <v>65</v>
      </c>
      <c r="R150" s="4" t="s">
        <v>66</v>
      </c>
      <c r="S150" s="4" t="s">
        <v>67</v>
      </c>
      <c r="T150" s="4" t="s">
        <v>68</v>
      </c>
      <c r="U150" s="4" t="s">
        <v>69</v>
      </c>
      <c r="V150" s="4" t="s">
        <v>70</v>
      </c>
      <c r="W150" s="4" t="s">
        <v>71</v>
      </c>
      <c r="X150" s="4" t="s">
        <v>72</v>
      </c>
      <c r="AB150" t="str">
        <f t="shared" si="5"/>
        <v>;;J0;J.;O.;N.;4A;6A;8A;10A;12A;4B;6B;8B;10B;12B;;;</v>
      </c>
      <c r="AC150" t="str">
        <f t="shared" si="4"/>
        <v>do $$ begin IF EXISTS (SELECT 1 FROM operace WHERE operace_id = 139) THEN update operace set kod = 'F2', nazev = 'Frézování tvaru ', popis = 'na můstky (zakaznický panel /ks), s kamerou, když půlené otvory - "FRÉZOVÁNÍ TVARU - přefrézování otvorů levotočivou frézou dle tech. postupu č. 2"', filtr = ';;J0;J.;O.;N.;4A;6A;8A;10A;12A;4B;6B;8B;10B;12B;;;', poradi = 147 where operace_id = 139; ELSE INSERT INTO OPERACE (operace_id, nazev, popis, filtr, kod, poradi) VALUES (139,'Frézování tvaru ','na můstky (zakaznický panel /ks), s kamerou, když půlené otvory - "FRÉZOVÁNÍ TVARU - přefrézování otvorů levotočivou frézou dle tech. postupu č. 2"',';;J0;J.;O.;N.;4A;6A;8A;10A;12A;4B;6B;8B;10B;12B;;;','F2',147); END IF; END $$;</v>
      </c>
    </row>
    <row r="151" spans="1:29" x14ac:dyDescent="0.25">
      <c r="A151" s="61" t="s">
        <v>53</v>
      </c>
      <c r="B151">
        <v>148</v>
      </c>
      <c r="D151">
        <v>142</v>
      </c>
      <c r="E151" s="31" t="s">
        <v>217</v>
      </c>
      <c r="F151" s="39" t="s">
        <v>53</v>
      </c>
      <c r="G151" s="39"/>
      <c r="K151" s="4" t="s">
        <v>57</v>
      </c>
      <c r="L151" s="4" t="s">
        <v>55</v>
      </c>
      <c r="M151" s="4" t="s">
        <v>56</v>
      </c>
      <c r="N151" s="4" t="s">
        <v>62</v>
      </c>
      <c r="O151" s="4" t="s">
        <v>63</v>
      </c>
      <c r="P151" s="4" t="s">
        <v>64</v>
      </c>
      <c r="Q151" s="4" t="s">
        <v>65</v>
      </c>
      <c r="R151" s="4" t="s">
        <v>66</v>
      </c>
      <c r="S151" s="4" t="s">
        <v>67</v>
      </c>
      <c r="T151" s="4" t="s">
        <v>68</v>
      </c>
      <c r="U151" s="4" t="s">
        <v>69</v>
      </c>
      <c r="V151" s="4" t="s">
        <v>70</v>
      </c>
      <c r="W151" s="4" t="s">
        <v>71</v>
      </c>
      <c r="X151" s="4" t="s">
        <v>72</v>
      </c>
      <c r="AB151" t="str">
        <f t="shared" si="5"/>
        <v>;;J0;J.;O.;N.;4A;6A;8A;10A;12A;4B;6B;8B;10B;12B;;;</v>
      </c>
      <c r="AC151" t="str">
        <f t="shared" si="4"/>
        <v>do $$ begin IF EXISTS (SELECT 1 FROM operace WHERE operace_id = 142) THEN update operace set kod = 'F2', nazev = 'Zabrušování můstků', popis = '', filtr = ';;J0;J.;O.;N.;4A;6A;8A;10A;12A;4B;6B;8B;10B;12B;;;', poradi = 148 where operace_id = 142; ELSE INSERT INTO OPERACE (operace_id, nazev, popis, filtr, kod, poradi) VALUES (142,'Zabrušování můstků','',';;J0;J.;O.;N.;4A;6A;8A;10A;12A;4B;6B;8B;10B;12B;;;','F2',148); END IF; END $$;</v>
      </c>
    </row>
    <row r="152" spans="1:29" x14ac:dyDescent="0.25">
      <c r="A152" s="61" t="s">
        <v>54</v>
      </c>
      <c r="B152">
        <v>149</v>
      </c>
      <c r="D152" s="28">
        <v>143</v>
      </c>
      <c r="E152" s="31" t="s">
        <v>128</v>
      </c>
      <c r="F152" s="39" t="s">
        <v>54</v>
      </c>
      <c r="G152" s="39"/>
      <c r="K152" s="4" t="s">
        <v>57</v>
      </c>
      <c r="L152" s="4" t="s">
        <v>55</v>
      </c>
      <c r="M152" s="4" t="s">
        <v>56</v>
      </c>
      <c r="N152" s="4" t="s">
        <v>62</v>
      </c>
      <c r="O152" s="4" t="s">
        <v>63</v>
      </c>
      <c r="P152" s="4" t="s">
        <v>64</v>
      </c>
      <c r="Q152" s="4" t="s">
        <v>65</v>
      </c>
      <c r="R152" s="4" t="s">
        <v>66</v>
      </c>
      <c r="S152" s="4" t="s">
        <v>67</v>
      </c>
      <c r="T152" s="4" t="s">
        <v>68</v>
      </c>
      <c r="U152" s="4" t="s">
        <v>69</v>
      </c>
      <c r="V152" s="4" t="s">
        <v>70</v>
      </c>
      <c r="W152" s="4" t="s">
        <v>71</v>
      </c>
      <c r="X152" s="4" t="s">
        <v>72</v>
      </c>
      <c r="AB152" t="str">
        <f t="shared" si="5"/>
        <v>;;J0;J.;O.;N.;4A;6A;8A;10A;12A;4B;6B;8B;10B;12B;;;</v>
      </c>
      <c r="AC152" t="str">
        <f t="shared" si="4"/>
        <v>do $$ begin IF EXISTS (SELECT 1 FROM operace WHERE operace_id = 143) THEN update operace set kod = 'R', nazev = 'Rozstřih + dokončení tvaru', popis = '', filtr = ';;J0;J.;O.;N.;4A;6A;8A;10A;12A;4B;6B;8B;10B;12B;;;', poradi = 149 where operace_id = 143; ELSE INSERT INTO OPERACE (operace_id, nazev, popis, filtr, kod, poradi) VALUES (143,'Rozstřih + dokončení tvaru','',';;J0;J.;O.;N.;4A;6A;8A;10A;12A;4B;6B;8B;10B;12B;;;','R',149); END IF; END $$;</v>
      </c>
    </row>
    <row r="153" spans="1:29" x14ac:dyDescent="0.25">
      <c r="A153" s="64"/>
      <c r="B153">
        <v>99999</v>
      </c>
      <c r="C153" s="11"/>
      <c r="D153" s="49">
        <v>3000</v>
      </c>
      <c r="E153" s="21" t="s">
        <v>192</v>
      </c>
      <c r="F153" s="35"/>
      <c r="G153" s="35"/>
      <c r="H153" t="s">
        <v>175</v>
      </c>
      <c r="K153" s="4" t="s">
        <v>57</v>
      </c>
      <c r="L153" s="4" t="s">
        <v>55</v>
      </c>
      <c r="M153" s="4" t="s">
        <v>56</v>
      </c>
      <c r="N153" s="4" t="s">
        <v>62</v>
      </c>
      <c r="O153" s="4" t="s">
        <v>63</v>
      </c>
      <c r="P153" s="4" t="s">
        <v>64</v>
      </c>
      <c r="Q153" s="4" t="s">
        <v>65</v>
      </c>
      <c r="R153" s="4" t="s">
        <v>66</v>
      </c>
      <c r="S153" s="4" t="s">
        <v>67</v>
      </c>
      <c r="T153" s="4" t="s">
        <v>68</v>
      </c>
      <c r="U153" s="4" t="s">
        <v>69</v>
      </c>
      <c r="V153" s="4" t="s">
        <v>70</v>
      </c>
      <c r="W153" s="4" t="s">
        <v>71</v>
      </c>
      <c r="X153" s="4" t="s">
        <v>72</v>
      </c>
      <c r="AB153" t="str">
        <f t="shared" si="5"/>
        <v>;;J0;J.;O.;N.;4A;6A;8A;10A;12A;4B;6B;8B;10B;12B;;;</v>
      </c>
      <c r="AC153" t="str">
        <f t="shared" si="4"/>
        <v>do $$ begin IF EXISTS (SELECT 1 FROM operace WHERE operace_id = 3000) THEN update operace set kod = '', nazev = 'Fazetování konektorů - lisovna', popis = 'param stupne, vybrano  stupne', filtr = ';;J0;J.;O.;N.;4A;6A;8A;10A;12A;4B;6B;8B;10B;12B;;;', poradi = 99999 where operace_id = 3000; ELSE INSERT INTO OPERACE (operace_id, nazev, popis, filtr, kod, poradi) VALUES (3000,'Fazetování konektorů - lisovna','param stupne, vybrano  stupne',';;J0;J.;O.;N.;4A;6A;8A;10A;12A;4B;6B;8B;10B;12B;;;','',99999); END IF; END $$;</v>
      </c>
    </row>
    <row r="154" spans="1:29" x14ac:dyDescent="0.25">
      <c r="A154" s="61"/>
      <c r="B154">
        <v>100000</v>
      </c>
      <c r="D154" s="28">
        <v>145</v>
      </c>
      <c r="E154" s="31" t="s">
        <v>185</v>
      </c>
      <c r="F154" s="39"/>
      <c r="G154" s="39"/>
      <c r="K154" s="4" t="s">
        <v>57</v>
      </c>
      <c r="L154" s="4" t="s">
        <v>55</v>
      </c>
      <c r="M154" s="4" t="s">
        <v>56</v>
      </c>
      <c r="N154" s="4" t="s">
        <v>62</v>
      </c>
      <c r="O154" s="4" t="s">
        <v>63</v>
      </c>
      <c r="P154" s="4" t="s">
        <v>64</v>
      </c>
      <c r="Q154" s="4" t="s">
        <v>65</v>
      </c>
      <c r="R154" s="4" t="s">
        <v>66</v>
      </c>
      <c r="S154" s="4" t="s">
        <v>67</v>
      </c>
      <c r="T154" s="4" t="s">
        <v>68</v>
      </c>
      <c r="U154" s="4" t="s">
        <v>69</v>
      </c>
      <c r="V154" s="4" t="s">
        <v>70</v>
      </c>
      <c r="W154" s="4" t="s">
        <v>71</v>
      </c>
      <c r="X154" s="4" t="s">
        <v>72</v>
      </c>
      <c r="AB154" t="str">
        <f t="shared" si="5"/>
        <v>;;J0;J.;O.;N.;4A;6A;8A;10A;12A;4B;6B;8B;10B;12B;;;</v>
      </c>
      <c r="AC154" t="str">
        <f t="shared" si="4"/>
        <v>do $$ begin IF EXISTS (SELECT 1 FROM operace WHERE operace_id = 145) THEN update operace set kod = '', nazev = 'Mytí před výstupní kontrolou', popis = '', filtr = ';;J0;J.;O.;N.;4A;6A;8A;10A;12A;4B;6B;8B;10B;12B;;;', poradi = 100000 where operace_id = 145; ELSE INSERT INTO OPERACE (operace_id, nazev, popis, filtr, kod, poradi) VALUES (145,'Mytí před výstupní kontrolou','',';;J0;J.;O.;N.;4A;6A;8A;10A;12A;4B;6B;8B;10B;12B;;;','',100000); END IF; END $$;</v>
      </c>
    </row>
    <row r="155" spans="1:29" x14ac:dyDescent="0.25">
      <c r="A155" s="60" t="s">
        <v>61</v>
      </c>
      <c r="B155">
        <v>1</v>
      </c>
      <c r="D155" s="49">
        <v>10001</v>
      </c>
      <c r="E155" s="9" t="s">
        <v>0</v>
      </c>
      <c r="F155" s="57"/>
      <c r="Y155" t="s">
        <v>61</v>
      </c>
      <c r="AB155" t="str">
        <f t="shared" si="5"/>
        <v>;;;;;;;;;;;;;;;;J1;;</v>
      </c>
      <c r="AC155" t="str">
        <f t="shared" si="4"/>
        <v>do $$ begin IF EXISTS (SELECT 1 FROM operace WHERE operace_id = 10001) THEN update operace set kod = '', nazev = 'Střihání základního materiálu', popis = '', filtr = ';;;;;;;;;;;;;;;;J1;;', poradi = 1 where operace_id = 10001; ELSE INSERT INTO OPERACE (operace_id, nazev, popis, filtr, kod, poradi) VALUES (10001,'Střihání základního materiálu','',';;;;;;;;;;;;;;;;J1;;','',1); END IF; END $$;</v>
      </c>
    </row>
    <row r="156" spans="1:29" x14ac:dyDescent="0.25">
      <c r="A156" s="60" t="s">
        <v>61</v>
      </c>
      <c r="B156">
        <v>2</v>
      </c>
      <c r="D156" s="49">
        <v>10002</v>
      </c>
      <c r="E156" s="9" t="s">
        <v>206</v>
      </c>
      <c r="F156" s="57"/>
      <c r="Y156" t="s">
        <v>61</v>
      </c>
      <c r="AB156" t="str">
        <f t="shared" si="5"/>
        <v>;;;;;;;;;;;;;;;;J1;;</v>
      </c>
      <c r="AC156" t="str">
        <f t="shared" si="4"/>
        <v>do $$ begin IF EXISTS (SELECT 1 FROM operace WHERE operace_id = 10002) THEN update operace set kod = '', nazev = 'Odstranit modrou folii strany Cu', popis = '', filtr = ';;;;;;;;;;;;;;;;J1;;', poradi = 2 where operace_id = 10002; ELSE INSERT INTO OPERACE (operace_id, nazev, popis, filtr, kod, poradi) VALUES (10002,'Odstranit modrou folii strany Cu','',';;;;;;;;;;;;;;;;J1;;','',2); END IF; END $$;</v>
      </c>
    </row>
    <row r="157" spans="1:29" x14ac:dyDescent="0.25">
      <c r="A157" s="60" t="s">
        <v>61</v>
      </c>
      <c r="B157">
        <v>3</v>
      </c>
      <c r="D157" s="49">
        <v>10003</v>
      </c>
      <c r="E157" s="9" t="s">
        <v>207</v>
      </c>
      <c r="F157" s="57"/>
      <c r="Y157" t="s">
        <v>61</v>
      </c>
      <c r="AB157" t="str">
        <f t="shared" si="5"/>
        <v>;;;;;;;;;;;;;;;;J1;;</v>
      </c>
      <c r="AC157" t="str">
        <f t="shared" si="4"/>
        <v>do $$ begin IF EXISTS (SELECT 1 FROM operace WHERE operace_id = 10003) THEN update operace set kod = '', nazev = 'Kartáčování jednostranné - strana Cu', popis = '', filtr = ';;;;;;;;;;;;;;;;J1;;', poradi = 3 where operace_id = 10003; ELSE INSERT INTO OPERACE (operace_id, nazev, popis, filtr, kod, poradi) VALUES (10003,'Kartáčování jednostranné - strana Cu','',';;;;;;;;;;;;;;;;J1;;','',3); END IF; END $$;</v>
      </c>
    </row>
    <row r="158" spans="1:29" x14ac:dyDescent="0.25">
      <c r="A158" s="60" t="s">
        <v>61</v>
      </c>
      <c r="B158">
        <v>4</v>
      </c>
      <c r="D158" s="49">
        <v>10004</v>
      </c>
      <c r="E158" s="10" t="s">
        <v>18</v>
      </c>
      <c r="F158" s="57"/>
      <c r="Y158" t="s">
        <v>61</v>
      </c>
      <c r="AB158" t="str">
        <f t="shared" si="5"/>
        <v>;;;;;;;;;;;;;;;;J1;;</v>
      </c>
      <c r="AC158" t="str">
        <f t="shared" si="4"/>
        <v>do $$ begin IF EXISTS (SELECT 1 FROM operace WHERE operace_id = 10004) THEN update operace set kod = '', nazev = 'Navalení fotorezistu', popis = '', filtr = ';;;;;;;;;;;;;;;;J1;;', poradi = 4 where operace_id = 10004; ELSE INSERT INTO OPERACE (operace_id, nazev, popis, filtr, kod, poradi) VALUES (10004,'Navalení fotorezistu','',';;;;;;;;;;;;;;;;J1;;','',4); END IF; END $$;</v>
      </c>
    </row>
    <row r="159" spans="1:29" x14ac:dyDescent="0.25">
      <c r="A159" s="60" t="s">
        <v>61</v>
      </c>
      <c r="B159">
        <v>5</v>
      </c>
      <c r="D159" s="49">
        <v>10005</v>
      </c>
      <c r="E159" s="10" t="s">
        <v>6</v>
      </c>
      <c r="F159" s="57"/>
      <c r="Y159" t="s">
        <v>61</v>
      </c>
      <c r="AB159" t="str">
        <f t="shared" si="5"/>
        <v>;;;;;;;;;;;;;;;;J1;;</v>
      </c>
      <c r="AC159" t="str">
        <f t="shared" si="4"/>
        <v>do $$ begin IF EXISTS (SELECT 1 FROM operace WHERE operace_id = 10005) THEN update operace set kod = '', nazev = 'Vytvoření motivu', popis = '', filtr = ';;;;;;;;;;;;;;;;J1;;', poradi = 5 where operace_id = 10005; ELSE INSERT INTO OPERACE (operace_id, nazev, popis, filtr, kod, poradi) VALUES (10005,'Vytvoření motivu','',';;;;;;;;;;;;;;;;J1;;','',5); END IF; END $$;</v>
      </c>
    </row>
    <row r="160" spans="1:29" x14ac:dyDescent="0.25">
      <c r="A160" s="60" t="s">
        <v>61</v>
      </c>
      <c r="B160">
        <v>6</v>
      </c>
      <c r="D160" s="49">
        <v>10006</v>
      </c>
      <c r="E160" s="10" t="s">
        <v>7</v>
      </c>
      <c r="F160" s="57"/>
      <c r="Y160" t="s">
        <v>61</v>
      </c>
      <c r="AB160" t="str">
        <f t="shared" si="5"/>
        <v>;;;;;;;;;;;;;;;;J1;;</v>
      </c>
      <c r="AC160" t="str">
        <f t="shared" si="4"/>
        <v>do $$ begin IF EXISTS (SELECT 1 FROM operace WHERE operace_id = 10006) THEN update operace set kod = '', nazev = 'Kontrola a retuš motivu', popis = '', filtr = ';;;;;;;;;;;;;;;;J1;;', poradi = 6 where operace_id = 10006; ELSE INSERT INTO OPERACE (operace_id, nazev, popis, filtr, kod, poradi) VALUES (10006,'Kontrola a retuš motivu','',';;;;;;;;;;;;;;;;J1;;','',6); END IF; END $$;</v>
      </c>
    </row>
    <row r="161" spans="1:29" x14ac:dyDescent="0.25">
      <c r="A161" s="60" t="s">
        <v>61</v>
      </c>
      <c r="B161">
        <v>7</v>
      </c>
      <c r="D161" s="49">
        <v>10007</v>
      </c>
      <c r="E161" s="9" t="s">
        <v>208</v>
      </c>
      <c r="F161" s="57"/>
      <c r="Y161" t="s">
        <v>61</v>
      </c>
      <c r="AB161" t="str">
        <f t="shared" si="5"/>
        <v>;;;;;;;;;;;;;;;;J1;;</v>
      </c>
      <c r="AC161" t="str">
        <f t="shared" si="4"/>
        <v>do $$ begin IF EXISTS (SELECT 1 FROM operace WHERE operace_id = 10007) THEN update operace set kod = '', nazev = 'Leptání (kyselé) + stripování fotorezistu  ', popis = '', filtr = ';;;;;;;;;;;;;;;;J1;;', poradi = 7 where operace_id = 10007; ELSE INSERT INTO OPERACE (operace_id, nazev, popis, filtr, kod, poradi) VALUES (10007,'Leptání (kyselé) + stripování fotorezistu  ','',';;;;;;;;;;;;;;;;J1;;','',7); END IF; END $$;</v>
      </c>
    </row>
    <row r="162" spans="1:29" x14ac:dyDescent="0.25">
      <c r="A162" s="60" t="s">
        <v>61</v>
      </c>
      <c r="B162">
        <v>8</v>
      </c>
      <c r="D162" s="49">
        <v>10008</v>
      </c>
      <c r="E162" s="9" t="s">
        <v>8</v>
      </c>
      <c r="F162" s="57"/>
      <c r="Y162" t="s">
        <v>61</v>
      </c>
      <c r="AB162" t="str">
        <f t="shared" si="5"/>
        <v>;;;;;;;;;;;;;;;;J1;;</v>
      </c>
      <c r="AC162" t="str">
        <f t="shared" si="4"/>
        <v>do $$ begin IF EXISTS (SELECT 1 FROM operace WHERE operace_id = 10008) THEN update operace set kod = '', nazev = 'Frézování reg.značek Inspecta', popis = '', filtr = ';;;;;;;;;;;;;;;;J1;;', poradi = 8 where operace_id = 10008; ELSE INSERT INTO OPERACE (operace_id, nazev, popis, filtr, kod, poradi) VALUES (10008,'Frézování reg.značek Inspecta','',';;;;;;;;;;;;;;;;J1;;','',8); END IF; END $$;</v>
      </c>
    </row>
    <row r="163" spans="1:29" x14ac:dyDescent="0.25">
      <c r="A163" s="60" t="s">
        <v>61</v>
      </c>
      <c r="B163">
        <v>9</v>
      </c>
      <c r="D163" s="49">
        <v>10009</v>
      </c>
      <c r="E163" s="9" t="s">
        <v>209</v>
      </c>
      <c r="F163" s="57"/>
      <c r="Y163" t="s">
        <v>61</v>
      </c>
      <c r="AB163" t="str">
        <f t="shared" si="5"/>
        <v>;;;;;;;;;;;;;;;;J1;;</v>
      </c>
      <c r="AC163" t="str">
        <f t="shared" si="4"/>
        <v>do $$ begin IF EXISTS (SELECT 1 FROM operace WHERE operace_id = 10009) THEN update operace set kod = '', nazev = 'Optický test', popis = '', filtr = ';;;;;;;;;;;;;;;;J1;;', poradi = 9 where operace_id = 10009; ELSE INSERT INTO OPERACE (operace_id, nazev, popis, filtr, kod, poradi) VALUES (10009,'Optický test','',';;;;;;;;;;;;;;;;J1;;','',9); END IF; END $$;</v>
      </c>
    </row>
    <row r="164" spans="1:29" x14ac:dyDescent="0.25">
      <c r="A164" s="60" t="s">
        <v>61</v>
      </c>
      <c r="B164">
        <v>10</v>
      </c>
      <c r="D164" s="49">
        <v>10010</v>
      </c>
      <c r="E164" s="9" t="s">
        <v>28</v>
      </c>
      <c r="F164" s="57" t="s">
        <v>47</v>
      </c>
      <c r="Y164" t="s">
        <v>61</v>
      </c>
      <c r="AB164" t="str">
        <f t="shared" si="5"/>
        <v>;;;;;;;;;;;;;;;;J1;;</v>
      </c>
      <c r="AC164" t="str">
        <f t="shared" si="4"/>
        <v>do $$ begin IF EXISTS (SELECT 1 FROM operace WHERE operace_id = 10010) THEN update operace set kod = 'T', nazev = 'Kontrola', popis = '', filtr = ';;;;;;;;;;;;;;;;J1;;', poradi = 10 where operace_id = 10010; ELSE INSERT INTO OPERACE (operace_id, nazev, popis, filtr, kod, poradi) VALUES (10010,'Kontrola','',';;;;;;;;;;;;;;;;J1;;','T',10); END IF; END $$;</v>
      </c>
    </row>
    <row r="165" spans="1:29" x14ac:dyDescent="0.25">
      <c r="A165" s="60" t="s">
        <v>61</v>
      </c>
      <c r="B165">
        <v>11</v>
      </c>
      <c r="D165" s="49">
        <v>10011</v>
      </c>
      <c r="E165" s="9" t="s">
        <v>134</v>
      </c>
      <c r="F165" s="57" t="s">
        <v>47</v>
      </c>
      <c r="K165" t="s">
        <v>57</v>
      </c>
      <c r="L165" t="s">
        <v>55</v>
      </c>
      <c r="Y165" t="s">
        <v>61</v>
      </c>
      <c r="AB165" t="str">
        <f t="shared" si="5"/>
        <v>;;J0;J.;;;;;;;;;;;;;J1;;</v>
      </c>
      <c r="AC165" t="str">
        <f t="shared" si="4"/>
        <v>do $$ begin IF EXISTS (SELECT 1 FROM operace WHERE operace_id = 10011) THEN update operace set kod = 'T', nazev = 'Elektrický test', popis = '', filtr = ';;J0;J.;;;;;;;;;;;;;J1;;', poradi = 11 where operace_id = 10011; ELSE INSERT INTO OPERACE (operace_id, nazev, popis, filtr, kod, poradi) VALUES (10011,'Elektrický test','',';;J0;J.;;;;;;;;;;;;;J1;;','T',11); END IF; END $$;</v>
      </c>
    </row>
    <row r="166" spans="1:29" x14ac:dyDescent="0.25">
      <c r="A166" s="60" t="s">
        <v>61</v>
      </c>
      <c r="B166">
        <v>12</v>
      </c>
      <c r="D166" s="49">
        <v>10012</v>
      </c>
      <c r="E166" s="10" t="s">
        <v>4</v>
      </c>
      <c r="F166" s="57"/>
      <c r="Y166" t="s">
        <v>61</v>
      </c>
      <c r="AB166" t="str">
        <f t="shared" si="5"/>
        <v>;;;;;;;;;;;;;;;;J1;;</v>
      </c>
      <c r="AC166" t="str">
        <f t="shared" si="4"/>
        <v>do $$ begin IF EXISTS (SELECT 1 FROM operace WHERE operace_id = 10012) THEN update operace set kod = '', nazev = 'Kartáčování jednostranné - jen strana Cu', popis = '', filtr = ';;;;;;;;;;;;;;;;J1;;', poradi = 12 where operace_id = 10012; ELSE INSERT INTO OPERACE (operace_id, nazev, popis, filtr, kod, poradi) VALUES (10012,'Kartáčování jednostranné - jen strana Cu','',';;;;;;;;;;;;;;;;J1;;','',12); END IF; END $$;</v>
      </c>
    </row>
    <row r="167" spans="1:29" x14ac:dyDescent="0.25">
      <c r="A167" s="60" t="s">
        <v>61</v>
      </c>
      <c r="B167" t="s">
        <v>311</v>
      </c>
      <c r="D167" s="49">
        <v>10013</v>
      </c>
      <c r="E167" s="10" t="s">
        <v>268</v>
      </c>
      <c r="F167" s="57" t="s">
        <v>38</v>
      </c>
      <c r="K167" t="s">
        <v>57</v>
      </c>
      <c r="L167" t="s">
        <v>55</v>
      </c>
      <c r="Y167" t="s">
        <v>61</v>
      </c>
      <c r="AB167" t="str">
        <f t="shared" si="5"/>
        <v>;;J0;J.;;;;;;;;;;;;;J1;;</v>
      </c>
      <c r="AC167" t="str">
        <f t="shared" si="4"/>
        <v>do $$ begin IF EXISTS (SELECT 1 FROM operace WHERE operace_id = 10013) THEN update operace set kod = 'MA', nazev = 'Nanášení nepájivé masky {strana} - {barva}', popis = '', filtr = ';;J0;J.;;;;;;;;;;;;;J1;;', poradi = 13.0 where operace_id = 10013; ELSE INSERT INTO OPERACE (operace_id, nazev, popis, filtr, kod, poradi) VALUES (10013,'Nanášení nepájivé masky {strana} - {barva}','',';;J0;J.;;;;;;;;;;;;;J1;;','MA',13.0); END IF; END $$;</v>
      </c>
    </row>
    <row r="168" spans="1:29" x14ac:dyDescent="0.25">
      <c r="A168" s="60" t="s">
        <v>61</v>
      </c>
      <c r="B168" t="s">
        <v>312</v>
      </c>
      <c r="D168" s="49">
        <v>10014</v>
      </c>
      <c r="E168" s="10" t="s">
        <v>163</v>
      </c>
      <c r="F168" s="57" t="s">
        <v>38</v>
      </c>
      <c r="K168" t="s">
        <v>57</v>
      </c>
      <c r="L168" t="s">
        <v>55</v>
      </c>
      <c r="Y168" t="s">
        <v>61</v>
      </c>
      <c r="AB168" t="str">
        <f t="shared" si="5"/>
        <v>;;J0;J.;;;;;;;;;;;;;J1;;</v>
      </c>
      <c r="AC168" t="str">
        <f t="shared" si="4"/>
        <v>do $$ begin IF EXISTS (SELECT 1 FROM operace WHERE operace_id = 10014) THEN update operace set kod = 'MA', nazev = 'Nanášení nepájivé masky {strana} - sítotisk {barva}', popis = '', filtr = ';;J0;J.;;;;;;;;;;;;;J1;;', poradi = 14.0 where operace_id = 10014; ELSE INSERT INTO OPERACE (operace_id, nazev, popis, filtr, kod, poradi) VALUES (10014,'Nanášení nepájivé masky {strana} - sítotisk {barva}','',';;J0;J.;;;;;;;;;;;;;J1;;','MA',14.0); END IF; END $$;</v>
      </c>
    </row>
    <row r="169" spans="1:29" x14ac:dyDescent="0.25">
      <c r="A169" s="60" t="s">
        <v>61</v>
      </c>
      <c r="B169" t="s">
        <v>313</v>
      </c>
      <c r="D169" s="49">
        <v>10015</v>
      </c>
      <c r="E169" s="9" t="s">
        <v>340</v>
      </c>
      <c r="F169" s="57" t="s">
        <v>38</v>
      </c>
      <c r="K169" t="s">
        <v>57</v>
      </c>
      <c r="L169" t="s">
        <v>55</v>
      </c>
      <c r="Y169" t="s">
        <v>61</v>
      </c>
      <c r="AB169" t="str">
        <f t="shared" si="5"/>
        <v>;;J0;J.;;;;;;;;;;;;;J1;;</v>
      </c>
      <c r="AC169" t="str">
        <f t="shared" si="4"/>
        <v>do $$ begin IF EXISTS (SELECT 1 FROM operace WHERE operace_id = 10015) THEN update operace set kod = 'MA', nazev = 'Vytvorění motivu masky {strana}', popis = '', filtr = ';;J0;J.;;;;;;;;;;;;;J1;;', poradi = 15.0 where operace_id = 10015; ELSE INSERT INTO OPERACE (operace_id, nazev, popis, filtr, kod, poradi) VALUES (10015,'Vytvorění motivu masky {strana}','',';;J0;J.;;;;;;;;;;;;;J1;;','MA',15.0); END IF; END $$;</v>
      </c>
    </row>
    <row r="170" spans="1:29" x14ac:dyDescent="0.25">
      <c r="A170" s="60" t="s">
        <v>61</v>
      </c>
      <c r="B170" t="s">
        <v>314</v>
      </c>
      <c r="D170" s="49">
        <v>10016</v>
      </c>
      <c r="E170" s="9" t="s">
        <v>310</v>
      </c>
      <c r="F170" s="57" t="s">
        <v>295</v>
      </c>
      <c r="K170" t="s">
        <v>57</v>
      </c>
      <c r="L170" t="s">
        <v>55</v>
      </c>
      <c r="Y170" t="s">
        <v>61</v>
      </c>
      <c r="AB170" t="str">
        <f t="shared" si="5"/>
        <v>;;J0;J.;;;;;;;;;;;;;J1;;</v>
      </c>
      <c r="AC170" t="str">
        <f t="shared" si="4"/>
        <v>do $$ begin IF EXISTS (SELECT 1 FROM operace WHERE operace_id = 10016) THEN update operace set kod = 'PA', nazev = 'Potisk NEWPRINT {strana}', popis = '', filtr = ';;J0;J.;;;;;;;;;;;;;J1;;', poradi = 16.0 where operace_id = 10016; ELSE INSERT INTO OPERACE (operace_id, nazev, popis, filtr, kod, poradi) VALUES (10016,'Potisk NEWPRINT {strana}','',';;J0;J.;;;;;;;;;;;;;J1;;','PA',16.0); END IF; END $$;</v>
      </c>
    </row>
    <row r="171" spans="1:29" x14ac:dyDescent="0.25">
      <c r="A171" s="60" t="s">
        <v>61</v>
      </c>
      <c r="B171" t="s">
        <v>315</v>
      </c>
      <c r="D171" s="49">
        <v>10017</v>
      </c>
      <c r="E171" s="9" t="s">
        <v>31</v>
      </c>
      <c r="F171" s="57" t="s">
        <v>38</v>
      </c>
      <c r="K171" t="s">
        <v>57</v>
      </c>
      <c r="L171" t="s">
        <v>55</v>
      </c>
      <c r="Y171" t="s">
        <v>61</v>
      </c>
      <c r="AB171" t="str">
        <f t="shared" si="5"/>
        <v>;;J0;J.;;;;;;;;;;;;;J1;;</v>
      </c>
      <c r="AC171" t="str">
        <f t="shared" si="4"/>
        <v>do $$ begin IF EXISTS (SELECT 1 FROM operace WHERE operace_id = 10017) THEN update operace set kod = 'MA', nazev = 'Vytvrzení', popis = '', filtr = ';;J0;J.;;;;;;;;;;;;;J1;;', poradi = 17.0 where operace_id = 10017; ELSE INSERT INTO OPERACE (operace_id, nazev, popis, filtr, kod, poradi) VALUES (10017,'Vytvrzení','',';;J0;J.;;;;;;;;;;;;;J1;;','MA',17.0); END IF; END $$;</v>
      </c>
    </row>
    <row r="172" spans="1:29" x14ac:dyDescent="0.25">
      <c r="A172" s="60" t="s">
        <v>61</v>
      </c>
      <c r="B172" t="s">
        <v>316</v>
      </c>
      <c r="D172" s="49">
        <v>10018</v>
      </c>
      <c r="E172" s="9" t="s">
        <v>348</v>
      </c>
      <c r="F172" s="57" t="s">
        <v>295</v>
      </c>
      <c r="K172" t="s">
        <v>57</v>
      </c>
      <c r="L172" t="s">
        <v>55</v>
      </c>
      <c r="Y172" t="s">
        <v>61</v>
      </c>
      <c r="AB172" t="str">
        <f t="shared" si="5"/>
        <v>;;J0;J.;;;;;;;;;;;;;J1;;</v>
      </c>
      <c r="AC172" t="str">
        <f t="shared" si="4"/>
        <v>do $$ begin IF EXISTS (SELECT 1 FROM operace WHERE operace_id = 10018) THEN update operace set kod = 'PA', nazev = 'Potisk {strana} - sítotisk {barva}, vytvrzení', popis = '', filtr = ';;J0;J.;;;;;;;;;;;;;J1;;', poradi = 18.0 where operace_id = 10018; ELSE INSERT INTO OPERACE (operace_id, nazev, popis, filtr, kod, poradi) VALUES (10018,'Potisk {strana} - sítotisk {barva}, vytvrzení','',';;J0;J.;;;;;;;;;;;;;J1;;','PA',18.0); END IF; END $$;</v>
      </c>
    </row>
    <row r="173" spans="1:29" x14ac:dyDescent="0.25">
      <c r="A173" s="60" t="s">
        <v>61</v>
      </c>
      <c r="B173" t="s">
        <v>317</v>
      </c>
      <c r="D173" s="49">
        <v>10019</v>
      </c>
      <c r="E173" s="9" t="s">
        <v>133</v>
      </c>
      <c r="F173" s="57" t="s">
        <v>38</v>
      </c>
      <c r="K173" t="s">
        <v>57</v>
      </c>
      <c r="L173" t="s">
        <v>55</v>
      </c>
      <c r="Y173" t="s">
        <v>61</v>
      </c>
      <c r="AB173" t="str">
        <f t="shared" si="5"/>
        <v>;;J0;J.;;;;;;;;;;;;;J1;;</v>
      </c>
      <c r="AC173" t="str">
        <f t="shared" si="4"/>
        <v>do $$ begin IF EXISTS (SELECT 1 FROM operace WHERE operace_id = 10019) THEN update operace set kod = 'MA', nazev = 'Kontrola ', popis = '', filtr = ';;J0;J.;;;;;;;;;;;;;J1;;', poradi = 19.0 where operace_id = 10019; ELSE INSERT INTO OPERACE (operace_id, nazev, popis, filtr, kod, poradi) VALUES (10019,'Kontrola ','',';;J0;J.;;;;;;;;;;;;;J1;;','MA',19.0); END IF; END $$;</v>
      </c>
    </row>
    <row r="174" spans="1:29" x14ac:dyDescent="0.25">
      <c r="A174" s="60" t="s">
        <v>61</v>
      </c>
      <c r="B174">
        <v>20</v>
      </c>
      <c r="D174" s="49">
        <v>10020</v>
      </c>
      <c r="E174" s="9" t="s">
        <v>35</v>
      </c>
      <c r="F174" s="57" t="s">
        <v>44</v>
      </c>
      <c r="Y174" t="s">
        <v>61</v>
      </c>
      <c r="AB174" t="str">
        <f t="shared" si="5"/>
        <v>;;;;;;;;;;;;;;;;J1;;</v>
      </c>
      <c r="AC174" t="str">
        <f t="shared" si="4"/>
        <v>do $$ begin IF EXISTS (SELECT 1 FROM operace WHERE operace_id = 10020) THEN update operace set kod = 'H', nazev = 'Aktivace Cu, HAL', popis = '', filtr = ';;;;;;;;;;;;;;;;J1;;', poradi = 20 where operace_id = 10020; ELSE INSERT INTO OPERACE (operace_id, nazev, popis, filtr, kod, poradi) VALUES (10020,'Aktivace Cu, HAL','',';;;;;;;;;;;;;;;;J1;;','H',20); END IF; END $$;</v>
      </c>
    </row>
    <row r="175" spans="1:29" x14ac:dyDescent="0.25">
      <c r="A175" s="60" t="s">
        <v>61</v>
      </c>
      <c r="B175" t="s">
        <v>318</v>
      </c>
      <c r="D175" s="49">
        <v>10021</v>
      </c>
      <c r="E175" s="9" t="s">
        <v>348</v>
      </c>
      <c r="F175" s="57" t="s">
        <v>295</v>
      </c>
      <c r="K175" t="s">
        <v>57</v>
      </c>
      <c r="L175" t="s">
        <v>55</v>
      </c>
      <c r="Y175" t="s">
        <v>61</v>
      </c>
      <c r="AB175" t="str">
        <f t="shared" si="5"/>
        <v>;;J0;J.;;;;;;;;;;;;;J1;;</v>
      </c>
      <c r="AC175" t="str">
        <f t="shared" si="4"/>
        <v>do $$ begin IF EXISTS (SELECT 1 FROM operace WHERE operace_id = 10021) THEN update operace set kod = 'PA', nazev = 'Potisk {strana} - sítotisk {barva}, vytvrzení', popis = '', filtr = ';;J0;J.;;;;;;;;;;;;;J1;;', poradi = 21.0 where operace_id = 10021; ELSE INSERT INTO OPERACE (operace_id, nazev, popis, filtr, kod, poradi) VALUES (10021,'Potisk {strana} - sítotisk {barva}, vytvrzení','',';;J0;J.;;;;;;;;;;;;;J1;;','PA',21.0); END IF; END $$;</v>
      </c>
    </row>
    <row r="176" spans="1:29" x14ac:dyDescent="0.25">
      <c r="A176" s="60" t="s">
        <v>61</v>
      </c>
      <c r="B176">
        <v>22</v>
      </c>
      <c r="D176" s="49">
        <v>10022</v>
      </c>
      <c r="E176" s="9" t="s">
        <v>80</v>
      </c>
      <c r="F176" s="57" t="s">
        <v>44</v>
      </c>
      <c r="Y176" t="s">
        <v>61</v>
      </c>
      <c r="AB176" t="str">
        <f t="shared" si="5"/>
        <v>;;;;;;;;;;;;;;;;J1;;</v>
      </c>
      <c r="AC176" t="str">
        <f t="shared" si="4"/>
        <v>do $$ begin IF EXISTS (SELECT 1 FROM operace WHERE operace_id = 10022) THEN update operace set kod = 'H', nazev = 'Kontrola po HAL', popis = '', filtr = ';;;;;;;;;;;;;;;;J1;;', poradi = 22 where operace_id = 10022; ELSE INSERT INTO OPERACE (operace_id, nazev, popis, filtr, kod, poradi) VALUES (10022,'Kontrola po HAL','',';;;;;;;;;;;;;;;;J1;;','H',22); END IF; END $$;</v>
      </c>
    </row>
    <row r="177" spans="1:29" x14ac:dyDescent="0.25">
      <c r="A177" s="60" t="s">
        <v>61</v>
      </c>
      <c r="B177">
        <v>23</v>
      </c>
      <c r="D177" s="49">
        <v>10023</v>
      </c>
      <c r="E177" s="9" t="s">
        <v>134</v>
      </c>
      <c r="F177" s="57" t="s">
        <v>44</v>
      </c>
      <c r="Y177" t="s">
        <v>61</v>
      </c>
      <c r="AB177" t="str">
        <f t="shared" si="5"/>
        <v>;;;;;;;;;;;;;;;;J1;;</v>
      </c>
      <c r="AC177" t="str">
        <f t="shared" si="4"/>
        <v>do $$ begin IF EXISTS (SELECT 1 FROM operace WHERE operace_id = 10023) THEN update operace set kod = 'H', nazev = 'Elektrický test', popis = '', filtr = ';;;;;;;;;;;;;;;;J1;;', poradi = 23 where operace_id = 10023; ELSE INSERT INTO OPERACE (operace_id, nazev, popis, filtr, kod, poradi) VALUES (10023,'Elektrický test','',';;;;;;;;;;;;;;;;J1;;','H',23); END IF; END $$;</v>
      </c>
    </row>
    <row r="178" spans="1:29" x14ac:dyDescent="0.25">
      <c r="A178" s="60" t="s">
        <v>61</v>
      </c>
      <c r="B178">
        <v>24</v>
      </c>
      <c r="D178" s="49">
        <v>10024</v>
      </c>
      <c r="E178" s="9" t="s">
        <v>34</v>
      </c>
      <c r="F178" s="57" t="s">
        <v>48</v>
      </c>
      <c r="Y178" t="s">
        <v>61</v>
      </c>
      <c r="AB178" t="str">
        <f t="shared" si="5"/>
        <v>;;;;;;;;;;;;;;;;J1;;</v>
      </c>
      <c r="AC178" t="str">
        <f t="shared" si="4"/>
        <v>do $$ begin IF EXISTS (SELECT 1 FROM operace WHERE operace_id = 10024) THEN update operace set kod = 'G', nazev = 'Stripování (striper cínu)', popis = '', filtr = ';;;;;;;;;;;;;;;;J1;;', poradi = 24 where operace_id = 10024; ELSE INSERT INTO OPERACE (operace_id, nazev, popis, filtr, kod, poradi) VALUES (10024,'Stripování (striper cínu)','',';;;;;;;;;;;;;;;;J1;;','G',24); END IF; END $$;</v>
      </c>
    </row>
    <row r="179" spans="1:29" x14ac:dyDescent="0.25">
      <c r="A179" s="60" t="s">
        <v>61</v>
      </c>
      <c r="B179">
        <v>25</v>
      </c>
      <c r="D179" s="49">
        <v>10025</v>
      </c>
      <c r="E179" s="9" t="s">
        <v>125</v>
      </c>
      <c r="F179" s="57" t="s">
        <v>48</v>
      </c>
      <c r="Y179" t="s">
        <v>61</v>
      </c>
      <c r="AB179" t="str">
        <f t="shared" si="5"/>
        <v>;;;;;;;;;;;;;;;;J1;;</v>
      </c>
      <c r="AC179" t="str">
        <f t="shared" si="4"/>
        <v>do $$ begin IF EXISTS (SELECT 1 FROM operace WHERE operace_id = 10025) THEN update operace set kod = 'G', nazev = 'Nanesení organického povlaku', popis = '', filtr = ';;;;;;;;;;;;;;;;J1;;', poradi = 25 where operace_id = 10025; ELSE INSERT INTO OPERACE (operace_id, nazev, popis, filtr, kod, poradi) VALUES (10025,'Nanesení organického povlaku','',';;;;;;;;;;;;;;;;J1;;','G',25); END IF; END $$;</v>
      </c>
    </row>
    <row r="180" spans="1:29" x14ac:dyDescent="0.25">
      <c r="A180" s="60" t="s">
        <v>61</v>
      </c>
      <c r="B180">
        <v>26</v>
      </c>
      <c r="D180" s="49">
        <v>10026</v>
      </c>
      <c r="E180" s="9" t="s">
        <v>126</v>
      </c>
      <c r="F180" s="57" t="s">
        <v>48</v>
      </c>
      <c r="Y180" t="s">
        <v>61</v>
      </c>
      <c r="AB180" t="str">
        <f t="shared" si="5"/>
        <v>;;;;;;;;;;;;;;;;J1;;</v>
      </c>
      <c r="AC180" t="str">
        <f t="shared" si="4"/>
        <v>do $$ begin IF EXISTS (SELECT 1 FROM operace WHERE operace_id = 10026) THEN update operace set kod = 'G', nazev = 'Kontrola po organickém povlaku', popis = '', filtr = ';;;;;;;;;;;;;;;;J1;;', poradi = 26 where operace_id = 10026; ELSE INSERT INTO OPERACE (operace_id, nazev, popis, filtr, kod, poradi) VALUES (10026,'Kontrola po organickém povlaku','',';;;;;;;;;;;;;;;;J1;;','G',26); END IF; END $$;</v>
      </c>
    </row>
    <row r="181" spans="1:29" x14ac:dyDescent="0.25">
      <c r="A181" s="60" t="s">
        <v>61</v>
      </c>
      <c r="B181">
        <v>27</v>
      </c>
      <c r="D181" s="49">
        <v>10027</v>
      </c>
      <c r="E181" s="9" t="s">
        <v>349</v>
      </c>
      <c r="F181" s="57" t="s">
        <v>196</v>
      </c>
      <c r="Y181" t="s">
        <v>61</v>
      </c>
      <c r="AB181" t="str">
        <f t="shared" si="5"/>
        <v>;;;;;;;;;;;;;;;;J1;;</v>
      </c>
      <c r="AC181" t="str">
        <f t="shared" si="4"/>
        <v>do $$ begin IF EXISTS (SELECT 1 FROM operace WHERE operace_id = 10027) THEN update operace set kod = 'Y', nazev = 'Odstranit ochrann. folii strany Al (mytí)', popis = '', filtr = ';;;;;;;;;;;;;;;;J1;;', poradi = 27 where operace_id = 10027; ELSE INSERT INTO OPERACE (operace_id, nazev, popis, filtr, kod, poradi) VALUES (10027,'Odstranit ochrann. folii strany Al (mytí)','',';;;;;;;;;;;;;;;;J1;;','Y',27); END IF; END $$;</v>
      </c>
    </row>
    <row r="182" spans="1:29" x14ac:dyDescent="0.25">
      <c r="A182" s="60" t="s">
        <v>61</v>
      </c>
      <c r="B182">
        <v>28</v>
      </c>
      <c r="D182" s="49">
        <v>10028</v>
      </c>
      <c r="E182" s="9" t="s">
        <v>127</v>
      </c>
      <c r="F182" t="s">
        <v>49</v>
      </c>
      <c r="Y182" t="s">
        <v>61</v>
      </c>
      <c r="AB182" t="str">
        <f t="shared" si="5"/>
        <v>;;;;;;;;;;;;;;;;J1;;</v>
      </c>
      <c r="AC182" t="str">
        <f t="shared" si="4"/>
        <v>do $$ begin IF EXISTS (SELECT 1 FROM operace WHERE operace_id = 10028) THEN update operace set kod = 'F1', nazev = 'Frézování výřezů', popis = '', filtr = ';;;;;;;;;;;;;;;;J1;;', poradi = 28 where operace_id = 10028; ELSE INSERT INTO OPERACE (operace_id, nazev, popis, filtr, kod, poradi) VALUES (10028,'Frézování výřezů','',';;;;;;;;;;;;;;;;J1;;','F1',28); END IF; END $$;</v>
      </c>
    </row>
    <row r="183" spans="1:29" x14ac:dyDescent="0.25">
      <c r="A183" s="60" t="s">
        <v>61</v>
      </c>
      <c r="B183">
        <v>29</v>
      </c>
      <c r="D183" s="49">
        <v>10029</v>
      </c>
      <c r="E183" s="9" t="s">
        <v>202</v>
      </c>
      <c r="F183" t="s">
        <v>53</v>
      </c>
      <c r="Y183" t="s">
        <v>61</v>
      </c>
      <c r="AB183" t="str">
        <f t="shared" si="5"/>
        <v>;;;;;;;;;;;;;;;;J1;;</v>
      </c>
      <c r="AC183" t="str">
        <f t="shared" si="4"/>
        <v>do $$ begin IF EXISTS (SELECT 1 FROM operace WHERE operace_id = 10029) THEN update operace set kod = 'F2', nazev = 'Frézování tvaru ', popis = '', filtr = ';;;;;;;;;;;;;;;;J1;;', poradi = 29 where operace_id = 10029; ELSE INSERT INTO OPERACE (operace_id, nazev, popis, filtr, kod, poradi) VALUES (10029,'Frézování tvaru ','',';;;;;;;;;;;;;;;;J1;;','F2',29); END IF; END $$;</v>
      </c>
    </row>
    <row r="184" spans="1:29" x14ac:dyDescent="0.25">
      <c r="A184" s="60" t="s">
        <v>61</v>
      </c>
      <c r="B184">
        <v>30</v>
      </c>
      <c r="D184" s="49">
        <v>10030</v>
      </c>
      <c r="E184" s="9" t="s">
        <v>210</v>
      </c>
      <c r="F184" t="s">
        <v>213</v>
      </c>
      <c r="Y184" t="s">
        <v>61</v>
      </c>
      <c r="AB184" t="str">
        <f t="shared" si="5"/>
        <v>;;;;;;;;;;;;;;;;J1;;</v>
      </c>
      <c r="AC184" t="str">
        <f t="shared" si="4"/>
        <v>do $$ begin IF EXISTS (SELECT 1 FROM operace WHERE operace_id = 10030) THEN update operace set kod = 'F1;F2', nazev = 'Broušení hran po frézování', popis = '', filtr = ';;;;;;;;;;;;;;;;J1;;', poradi = 30 where operace_id = 10030; ELSE INSERT INTO OPERACE (operace_id, nazev, popis, filtr, kod, poradi) VALUES (10030,'Broušení hran po frézování','',';;;;;;;;;;;;;;;;J1;;','F1;F2',30); END IF; END $$;</v>
      </c>
    </row>
    <row r="185" spans="1:29" x14ac:dyDescent="0.25">
      <c r="A185" s="60" t="s">
        <v>61</v>
      </c>
      <c r="B185">
        <v>31</v>
      </c>
      <c r="D185" s="49">
        <v>10031</v>
      </c>
      <c r="E185" s="9" t="s">
        <v>211</v>
      </c>
      <c r="F185" t="s">
        <v>212</v>
      </c>
      <c r="Y185" t="s">
        <v>61</v>
      </c>
      <c r="AB185" t="str">
        <f t="shared" si="5"/>
        <v>;;;;;;;;;;;;;;;;J1;;</v>
      </c>
      <c r="AC185" t="str">
        <f t="shared" si="4"/>
        <v>do $$ begin IF EXISTS (SELECT 1 FROM operace WHERE operace_id = 10031) THEN update operace set kod = 'D1;D2;D3', nazev = 'Vrtání materiálu Thermalclad', popis = '', filtr = ';;;;;;;;;;;;;;;;J1;;', poradi = 31 where operace_id = 10031; ELSE INSERT INTO OPERACE (operace_id, nazev, popis, filtr, kod, poradi) VALUES (10031,'Vrtání materiálu Thermalclad','',';;;;;;;;;;;;;;;;J1;;','D1;D2;D3',31); END IF; END $$;</v>
      </c>
    </row>
    <row r="186" spans="1:29" x14ac:dyDescent="0.25">
      <c r="A186" s="60" t="s">
        <v>61</v>
      </c>
      <c r="B186">
        <v>32</v>
      </c>
      <c r="D186" s="49">
        <v>10032</v>
      </c>
      <c r="E186" s="9" t="s">
        <v>350</v>
      </c>
      <c r="F186" t="s">
        <v>50</v>
      </c>
      <c r="Y186" t="s">
        <v>61</v>
      </c>
      <c r="AB186" t="str">
        <f t="shared" si="5"/>
        <v>;;;;;;;;;;;;;;;;J1;;</v>
      </c>
      <c r="AC186" t="str">
        <f t="shared" si="4"/>
        <v>do $$ begin IF EXISTS (SELECT 1 FROM operace WHERE operace_id = 10032) THEN update operace set kod = 'D1', nazev = 'Drážkování + úprava na panel', popis = '', filtr = ';;;;;;;;;;;;;;;;J1;;', poradi = 32 where operace_id = 10032; ELSE INSERT INTO OPERACE (operace_id, nazev, popis, filtr, kod, poradi) VALUES (10032,'Drážkování + úprava na panel','',';;;;;;;;;;;;;;;;J1;;','D1',32); END IF; END $$;</v>
      </c>
    </row>
    <row r="187" spans="1:29" x14ac:dyDescent="0.25">
      <c r="A187" s="60" t="s">
        <v>61</v>
      </c>
      <c r="B187">
        <v>33</v>
      </c>
      <c r="D187" s="49">
        <v>10033</v>
      </c>
      <c r="E187" s="9" t="s">
        <v>200</v>
      </c>
      <c r="F187" t="s">
        <v>51</v>
      </c>
      <c r="Y187" t="s">
        <v>61</v>
      </c>
      <c r="AB187" t="str">
        <f t="shared" si="5"/>
        <v>;;;;;;;;;;;;;;;;J1;;</v>
      </c>
      <c r="AC187" t="str">
        <f t="shared" si="4"/>
        <v>do $$ begin IF EXISTS (SELECT 1 FROM operace WHERE operace_id = 10033) THEN update operace set kod = 'D2', nazev = 'Drážkování + ponechat hrubý přířez', popis = '', filtr = ';;;;;;;;;;;;;;;;J1;;', poradi = 33 where operace_id = 10033; ELSE INSERT INTO OPERACE (operace_id, nazev, popis, filtr, kod, poradi) VALUES (10033,'Drážkování + ponechat hrubý přířez','',';;;;;;;;;;;;;;;;J1;;','D2',33); END IF; END $$;</v>
      </c>
    </row>
    <row r="188" spans="1:29" x14ac:dyDescent="0.25">
      <c r="A188" s="60" t="s">
        <v>61</v>
      </c>
      <c r="B188">
        <v>34</v>
      </c>
      <c r="D188" s="49">
        <v>10034</v>
      </c>
      <c r="E188" s="9" t="s">
        <v>201</v>
      </c>
      <c r="F188" t="s">
        <v>52</v>
      </c>
      <c r="Y188" t="s">
        <v>61</v>
      </c>
      <c r="AB188" t="str">
        <f t="shared" si="5"/>
        <v>;;;;;;;;;;;;;;;;J1;;</v>
      </c>
      <c r="AC188" t="str">
        <f t="shared" si="4"/>
        <v>do $$ begin IF EXISTS (SELECT 1 FROM operace WHERE operace_id = 10034) THEN update operace set kod = 'D3', nazev = 'Drážkování + dělení na jednotlivé DPS', popis = '', filtr = ';;;;;;;;;;;;;;;;J1;;', poradi = 34 where operace_id = 10034; ELSE INSERT INTO OPERACE (operace_id, nazev, popis, filtr, kod, poradi) VALUES (10034,'Drážkování + dělení na jednotlivé DPS','',';;;;;;;;;;;;;;;;J1;;','D3',34); END IF; END $$;</v>
      </c>
    </row>
    <row r="189" spans="1:29" x14ac:dyDescent="0.25">
      <c r="A189" s="60" t="s">
        <v>61</v>
      </c>
      <c r="B189">
        <v>35</v>
      </c>
      <c r="D189" s="49">
        <v>10035</v>
      </c>
      <c r="E189" s="58" t="s">
        <v>132</v>
      </c>
      <c r="F189" t="s">
        <v>212</v>
      </c>
      <c r="Y189" t="s">
        <v>61</v>
      </c>
      <c r="AB189" t="str">
        <f t="shared" si="5"/>
        <v>;;;;;;;;;;;;;;;;J1;;</v>
      </c>
      <c r="AC189" t="str">
        <f t="shared" si="4"/>
        <v>do $$ begin IF EXISTS (SELECT 1 FROM operace WHERE operace_id = 10035) THEN update operace set kod = 'D1;D2;D3', nazev = 'Broušení hran po drážkování', popis = '', filtr = ';;;;;;;;;;;;;;;;J1;;', poradi = 35 where operace_id = 10035; ELSE INSERT INTO OPERACE (operace_id, nazev, popis, filtr, kod, poradi) VALUES (10035,'Broušení hran po drážkování','',';;;;;;;;;;;;;;;;J1;;','D1;D2;D3',35); END IF; END $$;</v>
      </c>
    </row>
    <row r="190" spans="1:29" x14ac:dyDescent="0.25">
      <c r="A190" s="60" t="s">
        <v>61</v>
      </c>
      <c r="B190">
        <v>36</v>
      </c>
      <c r="D190" s="49">
        <v>10036</v>
      </c>
      <c r="E190" s="58" t="s">
        <v>36</v>
      </c>
      <c r="F190" t="s">
        <v>212</v>
      </c>
      <c r="Y190" t="s">
        <v>61</v>
      </c>
      <c r="AB190" t="str">
        <f t="shared" si="5"/>
        <v>;;;;;;;;;;;;;;;;J1;;</v>
      </c>
      <c r="AC190" t="str">
        <f t="shared" si="4"/>
        <v>do $$ begin IF EXISTS (SELECT 1 FROM operace WHERE operace_id = 10036) THEN update operace set kod = 'D1;D2;D3', nazev = 'Mytí saponátem', popis = '', filtr = ';;;;;;;;;;;;;;;;J1;;', poradi = 36 where operace_id = 10036; ELSE INSERT INTO OPERACE (operace_id, nazev, popis, filtr, kod, poradi) VALUES (10036,'Mytí saponátem','',';;;;;;;;;;;;;;;;J1;;','D1;D2;D3',36); END IF; END $$;</v>
      </c>
    </row>
    <row r="191" spans="1:29" x14ac:dyDescent="0.25">
      <c r="A191" s="60" t="s">
        <v>61</v>
      </c>
      <c r="B191">
        <v>37</v>
      </c>
      <c r="D191" s="49">
        <v>10037</v>
      </c>
      <c r="E191" s="9" t="s">
        <v>351</v>
      </c>
      <c r="F191" t="s">
        <v>212</v>
      </c>
      <c r="Y191" t="s">
        <v>61</v>
      </c>
      <c r="AB191" t="str">
        <f t="shared" si="5"/>
        <v>;;;;;;;;;;;;;;;;J1;;</v>
      </c>
      <c r="AC191" t="str">
        <f t="shared" si="4"/>
        <v>do $$ begin IF EXISTS (SELECT 1 FROM operace WHERE operace_id = 10037) THEN update operace set kod = 'D1;D2;D3', nazev = 'Mytí Thermalclad (linka po HAL)', popis = '', filtr = ';;;;;;;;;;;;;;;;J1;;', poradi = 37 where operace_id = 10037; ELSE INSERT INTO OPERACE (operace_id, nazev, popis, filtr, kod, poradi) VALUES (10037,'Mytí Thermalclad (linka po HAL)','',';;;;;;;;;;;;;;;;J1;;','D1;D2;D3',37); END IF; END $$;</v>
      </c>
    </row>
    <row r="192" spans="1:29" x14ac:dyDescent="0.25">
      <c r="A192" s="60"/>
      <c r="B192">
        <v>1</v>
      </c>
      <c r="D192" s="49">
        <v>20001</v>
      </c>
      <c r="E192" t="s">
        <v>220</v>
      </c>
      <c r="Z192" t="s">
        <v>59</v>
      </c>
      <c r="AA192" t="s">
        <v>60</v>
      </c>
      <c r="AB192" t="str">
        <f t="shared" si="5"/>
        <v>;;;;;;;;;;;;;;;;;E1;E2</v>
      </c>
      <c r="AC192" t="str">
        <f t="shared" si="4"/>
        <v>do $$ begin IF EXISTS (SELECT 1 FROM operace WHERE operace_id = 20001) THEN update operace set kod = '', nazev = 'Stříhání flexibilního materiálu', popis = '', filtr = ';;;;;;;;;;;;;;;;;E1;E2', poradi = 1 where operace_id = 20001; ELSE INSERT INTO OPERACE (operace_id, nazev, popis, filtr, kod, poradi) VALUES (20001,'Stříhání flexibilního materiálu','',';;;;;;;;;;;;;;;;;E1;E2','',1); END IF; END $$;</v>
      </c>
    </row>
    <row r="193" spans="1:29" x14ac:dyDescent="0.25">
      <c r="A193" s="60"/>
      <c r="B193">
        <v>2</v>
      </c>
      <c r="D193" s="49">
        <v>20002</v>
      </c>
      <c r="E193" t="s">
        <v>221</v>
      </c>
      <c r="G193" t="s">
        <v>38</v>
      </c>
      <c r="Z193" t="s">
        <v>59</v>
      </c>
      <c r="AA193" t="s">
        <v>60</v>
      </c>
      <c r="AB193" t="str">
        <f t="shared" si="5"/>
        <v>;;;;;;;;;;;;;;;;;E1;E2</v>
      </c>
      <c r="AC193" t="str">
        <f t="shared" si="4"/>
        <v>do $$ begin IF EXISTS (SELECT 1 FROM operace WHERE operace_id = 20002) THEN update operace set kod = '', nazev = 'Stříhání flexibilní masky A', popis = '', filtr = ';;;;;;;;;;;;;;;;;E1;E2', poradi = 2 where operace_id = 20002; ELSE INSERT INTO OPERACE (operace_id, nazev, popis, filtr, kod, poradi) VALUES (20002,'Stříhání flexibilní masky A','',';;;;;;;;;;;;;;;;;E1;E2','',2); END IF; END $$;</v>
      </c>
    </row>
    <row r="194" spans="1:29" x14ac:dyDescent="0.25">
      <c r="A194" s="60"/>
      <c r="B194">
        <v>3</v>
      </c>
      <c r="D194" s="49">
        <v>20003</v>
      </c>
      <c r="E194" t="s">
        <v>222</v>
      </c>
      <c r="G194" t="s">
        <v>39</v>
      </c>
      <c r="Z194" t="s">
        <v>59</v>
      </c>
      <c r="AA194" t="s">
        <v>60</v>
      </c>
      <c r="AB194" t="str">
        <f t="shared" si="5"/>
        <v>;;;;;;;;;;;;;;;;;E1;E2</v>
      </c>
      <c r="AC194" t="str">
        <f t="shared" si="4"/>
        <v>do $$ begin IF EXISTS (SELECT 1 FROM operace WHERE operace_id = 20003) THEN update operace set kod = '', nazev = 'Stříhání flexibilní masky B', popis = '', filtr = ';;;;;;;;;;;;;;;;;E1;E2', poradi = 3 where operace_id = 20003; ELSE INSERT INTO OPERACE (operace_id, nazev, popis, filtr, kod, poradi) VALUES (20003,'Stříhání flexibilní masky B','',';;;;;;;;;;;;;;;;;E1;E2','',3); END IF; END $$;</v>
      </c>
    </row>
    <row r="195" spans="1:29" ht="15" customHeight="1" x14ac:dyDescent="0.25">
      <c r="A195" s="60"/>
      <c r="B195">
        <v>4</v>
      </c>
      <c r="D195" s="49">
        <v>20004</v>
      </c>
      <c r="E195" s="66" t="s">
        <v>223</v>
      </c>
      <c r="G195" t="s">
        <v>40</v>
      </c>
      <c r="AA195" t="s">
        <v>60</v>
      </c>
      <c r="AB195" t="str">
        <f t="shared" si="5"/>
        <v>;;;;;;;;;;;;;;;;;;E2</v>
      </c>
      <c r="AC195" t="str">
        <f t="shared" ref="AC195:AC258" si="6">CONCATENATE($AC$1,D195,") THEN update operace set kod = '",F195,"', nazev = '",E195,"', popis = '",H195,"', filtr = '",AB195,"', poradi = ",B195," where operace_id = ",D195,"; ELSE INSERT INTO OPERACE (operace_id, nazev, popis, filtr, kod, poradi) VALUES (", D195,",'",E195,"','",H195,"','",AB195,"','",F195,"',",B195,"); END IF; END $$;" )</f>
        <v>do $$ begin IF EXISTS (SELECT 1 FROM operace WHERE operace_id = 20004) THEN update operace set kod = '', nazev = 'Stříhání flexibilní masky AB', popis = '', filtr = ';;;;;;;;;;;;;;;;;;E2', poradi = 4 where operace_id = 20004; ELSE INSERT INTO OPERACE (operace_id, nazev, popis, filtr, kod, poradi) VALUES (20004,'Stříhání flexibilní masky AB','',';;;;;;;;;;;;;;;;;;E2','',4); END IF; END $$;</v>
      </c>
    </row>
    <row r="196" spans="1:29" ht="15" customHeight="1" x14ac:dyDescent="0.25">
      <c r="A196" s="60"/>
      <c r="B196">
        <v>5</v>
      </c>
      <c r="D196" s="49">
        <v>20043</v>
      </c>
      <c r="E196" s="67" t="s">
        <v>259</v>
      </c>
      <c r="G196" t="s">
        <v>41</v>
      </c>
      <c r="Z196" t="s">
        <v>59</v>
      </c>
      <c r="AA196" t="s">
        <v>60</v>
      </c>
      <c r="AB196" t="str">
        <f t="shared" si="5"/>
        <v>;;;;;;;;;;;;;;;;;E1;E2</v>
      </c>
      <c r="AC196" t="str">
        <f t="shared" si="6"/>
        <v>do $$ begin IF EXISTS (SELECT 1 FROM operace WHERE operace_id = 20043) THEN update operace set kod = '', nazev = 'Stříhání podlepu/ů', popis = '', filtr = ';;;;;;;;;;;;;;;;;E1;E2', poradi = 5 where operace_id = 20043; ELSE INSERT INTO OPERACE (operace_id, nazev, popis, filtr, kod, poradi) VALUES (20043,'Stříhání podlepu/ů','',';;;;;;;;;;;;;;;;;E1;E2','',5); END IF; END $$;</v>
      </c>
    </row>
    <row r="197" spans="1:29" x14ac:dyDescent="0.25">
      <c r="A197" s="60"/>
      <c r="B197">
        <v>6</v>
      </c>
      <c r="D197" s="49">
        <v>20005</v>
      </c>
      <c r="E197" t="s">
        <v>224</v>
      </c>
      <c r="Z197" t="s">
        <v>59</v>
      </c>
      <c r="AA197" t="s">
        <v>60</v>
      </c>
      <c r="AB197" t="str">
        <f t="shared" si="5"/>
        <v>;;;;;;;;;;;;;;;;;E1;E2</v>
      </c>
      <c r="AC197" t="str">
        <f t="shared" si="6"/>
        <v>do $$ begin IF EXISTS (SELECT 1 FROM operace WHERE operace_id = 20005) THEN update operace set kod = '', nazev = 'Flex: paketovat', popis = '', filtr = ';;;;;;;;;;;;;;;;;E1;E2', poradi = 6 where operace_id = 20005; ELSE INSERT INTO OPERACE (operace_id, nazev, popis, filtr, kod, poradi) VALUES (20005,'Flex: paketovat','',';;;;;;;;;;;;;;;;;E1;E2','',6); END IF; END $$;</v>
      </c>
    </row>
    <row r="198" spans="1:29" ht="13.9" customHeight="1" x14ac:dyDescent="0.25">
      <c r="A198" s="60"/>
      <c r="B198">
        <v>7</v>
      </c>
      <c r="D198" s="49">
        <v>20006</v>
      </c>
      <c r="E198" t="s">
        <v>225</v>
      </c>
      <c r="G198" t="s">
        <v>216</v>
      </c>
      <c r="Z198" t="s">
        <v>59</v>
      </c>
      <c r="AA198" t="s">
        <v>60</v>
      </c>
      <c r="AB198" t="str">
        <f t="shared" ref="AB198:AB240" si="7">CONCATENATE(I198,";",J198,";",K198,";",L198,";",M198,";",N198,";",O198,";",P198,";",Q198,";",R198,";",S198,";",T198,";",U198,";",V198,";",W198,";",X198,";",Y198,";",Z198,";",AA198)</f>
        <v>;;;;;;;;;;;;;;;;;E1;E2</v>
      </c>
      <c r="AC198" t="str">
        <f t="shared" si="6"/>
        <v>do $$ begin IF EXISTS (SELECT 1 FROM operace WHERE operace_id = 20006) THEN update operace set kod = '', nazev = 'Maska/y: paketovat krycí folií dolů', popis = '', filtr = ';;;;;;;;;;;;;;;;;E1;E2', poradi = 7 where operace_id = 20006; ELSE INSERT INTO OPERACE (operace_id, nazev, popis, filtr, kod, poradi) VALUES (20006,'Maska/y: paketovat krycí folií dolů','',';;;;;;;;;;;;;;;;;E1;E2','',7); END IF; END $$;</v>
      </c>
    </row>
    <row r="199" spans="1:29" ht="13.9" customHeight="1" x14ac:dyDescent="0.25">
      <c r="A199" s="60"/>
      <c r="B199">
        <v>8</v>
      </c>
      <c r="D199" s="49">
        <v>20044</v>
      </c>
      <c r="E199" t="s">
        <v>262</v>
      </c>
      <c r="G199" t="s">
        <v>41</v>
      </c>
      <c r="Z199" t="s">
        <v>59</v>
      </c>
      <c r="AA199" t="s">
        <v>60</v>
      </c>
      <c r="AB199" t="str">
        <f t="shared" si="7"/>
        <v>;;;;;;;;;;;;;;;;;E1;E2</v>
      </c>
      <c r="AC199" t="str">
        <f t="shared" si="6"/>
        <v>do $$ begin IF EXISTS (SELECT 1 FROM operace WHERE operace_id = 20044) THEN update operace set kod = '', nazev = 'Podlep/y: paketovat', popis = '', filtr = ';;;;;;;;;;;;;;;;;E1;E2', poradi = 8 where operace_id = 20044; ELSE INSERT INTO OPERACE (operace_id, nazev, popis, filtr, kod, poradi) VALUES (20044,'Podlep/y: paketovat','',';;;;;;;;;;;;;;;;;E1;E2','',8); END IF; END $$;</v>
      </c>
    </row>
    <row r="200" spans="1:29" x14ac:dyDescent="0.25">
      <c r="B200">
        <v>9</v>
      </c>
      <c r="D200" s="49">
        <v>20007</v>
      </c>
      <c r="E200" t="s">
        <v>226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Z200" t="s">
        <v>59</v>
      </c>
      <c r="AA200" t="s">
        <v>60</v>
      </c>
      <c r="AB200" t="str">
        <f t="shared" si="7"/>
        <v>;;;;;;;;;;;;;;;;;E1;E2</v>
      </c>
      <c r="AC200" t="str">
        <f t="shared" si="6"/>
        <v>do $$ begin IF EXISTS (SELECT 1 FROM operace WHERE operace_id = 20007) THEN update operace set kod = '', nazev = 'Flex: Vrtání', popis = '', filtr = ';;;;;;;;;;;;;;;;;E1;E2', poradi = 9 where operace_id = 20007; ELSE INSERT INTO OPERACE (operace_id, nazev, popis, filtr, kod, poradi) VALUES (20007,'Flex: Vrtání','',';;;;;;;;;;;;;;;;;E1;E2','',9); END IF; END $$;</v>
      </c>
    </row>
    <row r="201" spans="1:29" x14ac:dyDescent="0.25">
      <c r="B201">
        <v>10</v>
      </c>
      <c r="D201" s="49">
        <v>20008</v>
      </c>
      <c r="E201" t="s">
        <v>227</v>
      </c>
      <c r="G201" t="s">
        <v>38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Z201" t="s">
        <v>59</v>
      </c>
      <c r="AA201" t="s">
        <v>60</v>
      </c>
      <c r="AB201" t="str">
        <f t="shared" si="7"/>
        <v>;;;;;;;;;;;;;;;;;E1;E2</v>
      </c>
      <c r="AC201" t="str">
        <f t="shared" si="6"/>
        <v>do $$ begin IF EXISTS (SELECT 1 FROM operace WHERE operace_id = 20008) THEN update operace set kod = '', nazev = 'Maska: frézování  *.frma', popis = '', filtr = ';;;;;;;;;;;;;;;;;E1;E2', poradi = 10 where operace_id = 20008; ELSE INSERT INTO OPERACE (operace_id, nazev, popis, filtr, kod, poradi) VALUES (20008,'Maska: frézování  *.frma','',';;;;;;;;;;;;;;;;;E1;E2','',10); END IF; END $$;</v>
      </c>
    </row>
    <row r="202" spans="1:29" x14ac:dyDescent="0.25">
      <c r="B202">
        <v>11</v>
      </c>
      <c r="D202" s="49">
        <v>20009</v>
      </c>
      <c r="E202" t="s">
        <v>228</v>
      </c>
      <c r="G202" t="s">
        <v>39</v>
      </c>
      <c r="Z202" t="s">
        <v>59</v>
      </c>
      <c r="AA202" t="s">
        <v>60</v>
      </c>
      <c r="AB202" t="str">
        <f t="shared" si="7"/>
        <v>;;;;;;;;;;;;;;;;;E1;E2</v>
      </c>
      <c r="AC202" t="str">
        <f t="shared" si="6"/>
        <v>do $$ begin IF EXISTS (SELECT 1 FROM operace WHERE operace_id = 20009) THEN update operace set kod = '', nazev = 'Maska: frézování *.frmb', popis = '', filtr = ';;;;;;;;;;;;;;;;;E1;E2', poradi = 11 where operace_id = 20009; ELSE INSERT INTO OPERACE (operace_id, nazev, popis, filtr, kod, poradi) VALUES (20009,'Maska: frézování *.frmb','',';;;;;;;;;;;;;;;;;E1;E2','',11); END IF; END $$;</v>
      </c>
    </row>
    <row r="203" spans="1:29" x14ac:dyDescent="0.25">
      <c r="B203">
        <v>12</v>
      </c>
      <c r="D203" s="49">
        <v>20010</v>
      </c>
      <c r="E203" t="s">
        <v>229</v>
      </c>
      <c r="G203" t="s">
        <v>40</v>
      </c>
      <c r="AA203" t="s">
        <v>60</v>
      </c>
      <c r="AB203" t="str">
        <f t="shared" si="7"/>
        <v>;;;;;;;;;;;;;;;;;;E2</v>
      </c>
      <c r="AC203" t="str">
        <f t="shared" si="6"/>
        <v>do $$ begin IF EXISTS (SELECT 1 FROM operace WHERE operace_id = 20010) THEN update operace set kod = '', nazev = 'Maska: frézování *.frma, *.frmb', popis = '', filtr = ';;;;;;;;;;;;;;;;;;E2', poradi = 12 where operace_id = 20010; ELSE INSERT INTO OPERACE (operace_id, nazev, popis, filtr, kod, poradi) VALUES (20010,'Maska: frézování *.frma, *.frmb','',';;;;;;;;;;;;;;;;;;E2','',12); END IF; END $$;</v>
      </c>
    </row>
    <row r="204" spans="1:29" x14ac:dyDescent="0.25">
      <c r="B204">
        <v>13</v>
      </c>
      <c r="D204" s="49">
        <v>20011</v>
      </c>
      <c r="E204" t="s">
        <v>230</v>
      </c>
      <c r="G204" t="s">
        <v>41</v>
      </c>
      <c r="Z204" t="s">
        <v>59</v>
      </c>
      <c r="AA204" t="s">
        <v>60</v>
      </c>
      <c r="AB204" t="str">
        <f t="shared" si="7"/>
        <v>;;;;;;;;;;;;;;;;;E1;E2</v>
      </c>
      <c r="AC204" t="str">
        <f t="shared" si="6"/>
        <v>do $$ begin IF EXISTS (SELECT 1 FROM operace WHERE operace_id = 20011) THEN update operace set kod = '', nazev = 'Frézování podlepu/ů', popis = '', filtr = ';;;;;;;;;;;;;;;;;E1;E2', poradi = 13 where operace_id = 20011; ELSE INSERT INTO OPERACE (operace_id, nazev, popis, filtr, kod, poradi) VALUES (20011,'Frézování podlepu/ů','',';;;;;;;;;;;;;;;;;E1;E2','',13); END IF; END $$;</v>
      </c>
    </row>
    <row r="205" spans="1:29" x14ac:dyDescent="0.25">
      <c r="B205">
        <v>14</v>
      </c>
      <c r="D205" s="49">
        <v>20012</v>
      </c>
      <c r="E205" t="s">
        <v>231</v>
      </c>
      <c r="Z205" t="s">
        <v>59</v>
      </c>
      <c r="AA205" t="s">
        <v>60</v>
      </c>
      <c r="AB205" t="str">
        <f t="shared" si="7"/>
        <v>;;;;;;;;;;;;;;;;;E1;E2</v>
      </c>
      <c r="AC205" t="str">
        <f t="shared" si="6"/>
        <v>do $$ begin IF EXISTS (SELECT 1 FROM operace WHERE operace_id = 20012) THEN update operace set kod = '', nazev = 'Flex: Mikrozaleptání (MEB)', popis = '', filtr = ';;;;;;;;;;;;;;;;;E1;E2', poradi = 14 where operace_id = 20012; ELSE INSERT INTO OPERACE (operace_id, nazev, popis, filtr, kod, poradi) VALUES (20012,'Flex: Mikrozaleptání (MEB)','',';;;;;;;;;;;;;;;;;E1;E2','',14); END IF; END $$;</v>
      </c>
    </row>
    <row r="206" spans="1:29" x14ac:dyDescent="0.25">
      <c r="B206">
        <v>15</v>
      </c>
      <c r="D206" s="49">
        <v>20013</v>
      </c>
      <c r="E206" t="s">
        <v>232</v>
      </c>
      <c r="AA206" t="s">
        <v>60</v>
      </c>
      <c r="AB206" t="str">
        <f t="shared" si="7"/>
        <v>;;;;;;;;;;;;;;;;;;E2</v>
      </c>
      <c r="AC206" t="str">
        <f t="shared" si="6"/>
        <v>do $$ begin IF EXISTS (SELECT 1 FROM operace WHERE operace_id = 20013) THEN update operace set kod = '', nazev = 'Flex: Neopact prg. 1+7', popis = '', filtr = ';;;;;;;;;;;;;;;;;;E2', poradi = 15 where operace_id = 20013; ELSE INSERT INTO OPERACE (operace_id, nazev, popis, filtr, kod, poradi) VALUES (20013,'Flex: Neopact prg. 1+7','',';;;;;;;;;;;;;;;;;;E2','',15); END IF; END $$;</v>
      </c>
    </row>
    <row r="207" spans="1:29" x14ac:dyDescent="0.25">
      <c r="B207">
        <v>16</v>
      </c>
      <c r="D207" s="49">
        <v>20014</v>
      </c>
      <c r="E207" t="s">
        <v>231</v>
      </c>
      <c r="AA207" t="s">
        <v>60</v>
      </c>
      <c r="AB207" t="str">
        <f t="shared" si="7"/>
        <v>;;;;;;;;;;;;;;;;;;E2</v>
      </c>
      <c r="AC207" t="str">
        <f t="shared" si="6"/>
        <v>do $$ begin IF EXISTS (SELECT 1 FROM operace WHERE operace_id = 20014) THEN update operace set kod = '', nazev = 'Flex: Mikrozaleptání (MEB)', popis = '', filtr = ';;;;;;;;;;;;;;;;;;E2', poradi = 16 where operace_id = 20014; ELSE INSERT INTO OPERACE (operace_id, nazev, popis, filtr, kod, poradi) VALUES (20014,'Flex: Mikrozaleptání (MEB)','',';;;;;;;;;;;;;;;;;;E2','',16); END IF; END $$;</v>
      </c>
    </row>
    <row r="208" spans="1:29" x14ac:dyDescent="0.25">
      <c r="B208">
        <v>17</v>
      </c>
      <c r="D208" s="49">
        <v>20015</v>
      </c>
      <c r="E208" t="s">
        <v>233</v>
      </c>
      <c r="Z208" t="s">
        <v>59</v>
      </c>
      <c r="AA208" t="s">
        <v>60</v>
      </c>
      <c r="AB208" t="str">
        <f t="shared" si="7"/>
        <v>;;;;;;;;;;;;;;;;;E1;E2</v>
      </c>
      <c r="AC208" t="str">
        <f t="shared" si="6"/>
        <v>do $$ begin IF EXISTS (SELECT 1 FROM operace WHERE operace_id = 20015) THEN update operace set kod = '', nazev = 'Flex: Navalení fotorezistu', popis = '', filtr = ';;;;;;;;;;;;;;;;;E1;E2', poradi = 17 where operace_id = 20015; ELSE INSERT INTO OPERACE (operace_id, nazev, popis, filtr, kod, poradi) VALUES (20015,'Flex: Navalení fotorezistu','',';;;;;;;;;;;;;;;;;E1;E2','',17); END IF; END $$;</v>
      </c>
    </row>
    <row r="209" spans="2:29" x14ac:dyDescent="0.25">
      <c r="B209">
        <v>18</v>
      </c>
      <c r="D209" s="49">
        <v>20016</v>
      </c>
      <c r="E209" t="s">
        <v>234</v>
      </c>
      <c r="Z209" t="s">
        <v>59</v>
      </c>
      <c r="AA209" t="s">
        <v>60</v>
      </c>
      <c r="AB209" t="str">
        <f t="shared" si="7"/>
        <v>;;;;;;;;;;;;;;;;;E1;E2</v>
      </c>
      <c r="AC209" t="str">
        <f t="shared" si="6"/>
        <v>do $$ begin IF EXISTS (SELECT 1 FROM operace WHERE operace_id = 20016) THEN update operace set kod = '', nazev = 'Flex: Vytvoření motivu', popis = '', filtr = ';;;;;;;;;;;;;;;;;E1;E2', poradi = 18 where operace_id = 20016; ELSE INSERT INTO OPERACE (operace_id, nazev, popis, filtr, kod, poradi) VALUES (20016,'Flex: Vytvoření motivu','',';;;;;;;;;;;;;;;;;E1;E2','',18); END IF; END $$;</v>
      </c>
    </row>
    <row r="210" spans="2:29" x14ac:dyDescent="0.25">
      <c r="B210">
        <v>19</v>
      </c>
      <c r="D210" s="49">
        <v>20017</v>
      </c>
      <c r="E210" t="s">
        <v>235</v>
      </c>
      <c r="Z210" t="s">
        <v>59</v>
      </c>
      <c r="AA210" t="s">
        <v>60</v>
      </c>
      <c r="AB210" t="str">
        <f t="shared" si="7"/>
        <v>;;;;;;;;;;;;;;;;;E1;E2</v>
      </c>
      <c r="AC210" t="str">
        <f t="shared" si="6"/>
        <v>do $$ begin IF EXISTS (SELECT 1 FROM operace WHERE operace_id = 20017) THEN update operace set kod = '', nazev = 'Flex: Vyvolání motivu', popis = '', filtr = ';;;;;;;;;;;;;;;;;E1;E2', poradi = 19 where operace_id = 20017; ELSE INSERT INTO OPERACE (operace_id, nazev, popis, filtr, kod, poradi) VALUES (20017,'Flex: Vyvolání motivu','',';;;;;;;;;;;;;;;;;E1;E2','',19); END IF; END $$;</v>
      </c>
    </row>
    <row r="211" spans="2:29" x14ac:dyDescent="0.25">
      <c r="B211">
        <v>20</v>
      </c>
      <c r="D211" s="49">
        <v>20018</v>
      </c>
      <c r="E211" t="s">
        <v>236</v>
      </c>
      <c r="Z211" t="s">
        <v>59</v>
      </c>
      <c r="AA211" t="s">
        <v>60</v>
      </c>
      <c r="AB211" t="str">
        <f t="shared" si="7"/>
        <v>;;;;;;;;;;;;;;;;;E1;E2</v>
      </c>
      <c r="AC211" t="str">
        <f t="shared" si="6"/>
        <v>do $$ begin IF EXISTS (SELECT 1 FROM operace WHERE operace_id = 20018) THEN update operace set kod = '', nazev = 'Flex: Kontrola a retuš motivu', popis = '', filtr = ';;;;;;;;;;;;;;;;;E1;E2', poradi = 20 where operace_id = 20018; ELSE INSERT INTO OPERACE (operace_id, nazev, popis, filtr, kod, poradi) VALUES (20018,'Flex: Kontrola a retuš motivu','',';;;;;;;;;;;;;;;;;E1;E2','',20); END IF; END $$;</v>
      </c>
    </row>
    <row r="212" spans="2:29" x14ac:dyDescent="0.25">
      <c r="B212">
        <v>21</v>
      </c>
      <c r="D212" s="49">
        <v>20019</v>
      </c>
      <c r="E212" t="s">
        <v>237</v>
      </c>
      <c r="Z212" t="s">
        <v>59</v>
      </c>
      <c r="AB212" t="str">
        <f t="shared" si="7"/>
        <v>;;;;;;;;;;;;;;;;;E1;</v>
      </c>
      <c r="AC212" t="str">
        <f t="shared" si="6"/>
        <v>do $$ begin IF EXISTS (SELECT 1 FROM operace WHERE operace_id = 20019) THEN update operace set kod = '', nazev = 'Flex: Leptání + stripování (kys. leptačka)', popis = '', filtr = ';;;;;;;;;;;;;;;;;E1;', poradi = 21 where operace_id = 20019; ELSE INSERT INTO OPERACE (operace_id, nazev, popis, filtr, kod, poradi) VALUES (20019,'Flex: Leptání + stripování (kys. leptačka)','',';;;;;;;;;;;;;;;;;E1;','',21); END IF; END $$;</v>
      </c>
    </row>
    <row r="213" spans="2:29" x14ac:dyDescent="0.25">
      <c r="B213">
        <v>22</v>
      </c>
      <c r="D213" s="49">
        <v>20020</v>
      </c>
      <c r="E213" t="s">
        <v>238</v>
      </c>
      <c r="AA213" t="s">
        <v>60</v>
      </c>
      <c r="AB213" t="str">
        <f t="shared" si="7"/>
        <v>;;;;;;;;;;;;;;;;;;E2</v>
      </c>
      <c r="AC213" t="str">
        <f t="shared" si="6"/>
        <v>do $$ begin IF EXISTS (SELECT 1 FROM operace WHERE operace_id = 20020) THEN update operace set kod = '', nazev = 'Flex: Cu-Sn galvanické pokovení', popis = '', filtr = ';;;;;;;;;;;;;;;;;;E2', poradi = 22 where operace_id = 20020; ELSE INSERT INTO OPERACE (operace_id, nazev, popis, filtr, kod, poradi) VALUES (20020,'Flex: Cu-Sn galvanické pokovení','',';;;;;;;;;;;;;;;;;;E2','',22); END IF; END $$;</v>
      </c>
    </row>
    <row r="214" spans="2:29" x14ac:dyDescent="0.25">
      <c r="B214">
        <v>23</v>
      </c>
      <c r="D214" s="49">
        <v>20021</v>
      </c>
      <c r="E214" t="s">
        <v>239</v>
      </c>
      <c r="AA214" t="s">
        <v>60</v>
      </c>
      <c r="AB214" t="str">
        <f t="shared" si="7"/>
        <v>;;;;;;;;;;;;;;;;;;E2</v>
      </c>
      <c r="AC214" t="str">
        <f t="shared" si="6"/>
        <v>do $$ begin IF EXISTS (SELECT 1 FROM operace WHERE operace_id = 20021) THEN update operace set kod = '', nazev = 'Flex: Stripování fotorezistu', popis = '', filtr = ';;;;;;;;;;;;;;;;;;E2', poradi = 23 where operace_id = 20021; ELSE INSERT INTO OPERACE (operace_id, nazev, popis, filtr, kod, poradi) VALUES (20021,'Flex: Stripování fotorezistu','',';;;;;;;;;;;;;;;;;;E2','',23); END IF; END $$;</v>
      </c>
    </row>
    <row r="215" spans="2:29" x14ac:dyDescent="0.25">
      <c r="B215">
        <v>24</v>
      </c>
      <c r="D215" s="49">
        <v>20022</v>
      </c>
      <c r="E215" t="s">
        <v>240</v>
      </c>
      <c r="AA215" t="s">
        <v>60</v>
      </c>
      <c r="AB215" t="str">
        <f t="shared" si="7"/>
        <v>;;;;;;;;;;;;;;;;;;E2</v>
      </c>
      <c r="AC215" t="str">
        <f t="shared" si="6"/>
        <v>do $$ begin IF EXISTS (SELECT 1 FROM operace WHERE operace_id = 20022) THEN update operace set kod = '', nazev = 'Flex: Leptání alkalické', popis = '', filtr = ';;;;;;;;;;;;;;;;;;E2', poradi = 24 where operace_id = 20022; ELSE INSERT INTO OPERACE (operace_id, nazev, popis, filtr, kod, poradi) VALUES (20022,'Flex: Leptání alkalické','',';;;;;;;;;;;;;;;;;;E2','',24); END IF; END $$;</v>
      </c>
    </row>
    <row r="216" spans="2:29" x14ac:dyDescent="0.25">
      <c r="B216">
        <v>25</v>
      </c>
      <c r="D216" s="49">
        <v>20023</v>
      </c>
      <c r="E216" t="s">
        <v>241</v>
      </c>
      <c r="AA216" t="s">
        <v>60</v>
      </c>
      <c r="AB216" t="str">
        <f t="shared" si="7"/>
        <v>;;;;;;;;;;;;;;;;;;E2</v>
      </c>
      <c r="AC216" t="str">
        <f t="shared" si="6"/>
        <v>do $$ begin IF EXISTS (SELECT 1 FROM operace WHERE operace_id = 20023) THEN update operace set kod = '', nazev = 'Flex: Stripování Sn', popis = '', filtr = ';;;;;;;;;;;;;;;;;;E2', poradi = 25 where operace_id = 20023; ELSE INSERT INTO OPERACE (operace_id, nazev, popis, filtr, kod, poradi) VALUES (20023,'Flex: Stripování Sn','',';;;;;;;;;;;;;;;;;;E2','',25); END IF; END $$;</v>
      </c>
    </row>
    <row r="217" spans="2:29" x14ac:dyDescent="0.25">
      <c r="B217">
        <v>26</v>
      </c>
      <c r="D217" s="49">
        <v>20024</v>
      </c>
      <c r="E217" t="s">
        <v>242</v>
      </c>
      <c r="Z217" t="s">
        <v>59</v>
      </c>
      <c r="AA217" t="s">
        <v>60</v>
      </c>
      <c r="AB217" t="str">
        <f t="shared" si="7"/>
        <v>;;;;;;;;;;;;;;;;;E1;E2</v>
      </c>
      <c r="AC217" t="str">
        <f t="shared" si="6"/>
        <v>do $$ begin IF EXISTS (SELECT 1 FROM operace WHERE operace_id = 20024) THEN update operace set kod = '', nazev = 'Flex: Kontrola ', popis = '', filtr = ';;;;;;;;;;;;;;;;;E1;E2', poradi = 26 where operace_id = 20024; ELSE INSERT INTO OPERACE (operace_id, nazev, popis, filtr, kod, poradi) VALUES (20024,'Flex: Kontrola ','',';;;;;;;;;;;;;;;;;E1;E2','',26); END IF; END $$;</v>
      </c>
    </row>
    <row r="218" spans="2:29" x14ac:dyDescent="0.25">
      <c r="B218">
        <v>27</v>
      </c>
      <c r="D218" s="49">
        <v>20025</v>
      </c>
      <c r="E218" t="s">
        <v>231</v>
      </c>
      <c r="H218" t="s">
        <v>161</v>
      </c>
      <c r="Z218" t="s">
        <v>59</v>
      </c>
      <c r="AA218" t="s">
        <v>60</v>
      </c>
      <c r="AB218" t="str">
        <f t="shared" si="7"/>
        <v>;;;;;;;;;;;;;;;;;E1;E2</v>
      </c>
      <c r="AC218" t="str">
        <f t="shared" si="6"/>
        <v>do $$ begin IF EXISTS (SELECT 1 FROM operace WHERE operace_id = 20025) THEN update operace set kod = '', nazev = 'Flex: Mikrozaleptání (MEB)', popis = 'MA;MB;MX', filtr = ';;;;;;;;;;;;;;;;;E1;E2', poradi = 27 where operace_id = 20025; ELSE INSERT INTO OPERACE (operace_id, nazev, popis, filtr, kod, poradi) VALUES (20025,'Flex: Mikrozaleptání (MEB)','MA;MB;MX',';;;;;;;;;;;;;;;;;E1;E2','',27); END IF; END $$;</v>
      </c>
    </row>
    <row r="219" spans="2:29" x14ac:dyDescent="0.25">
      <c r="B219">
        <v>28</v>
      </c>
      <c r="D219" s="49">
        <v>20026</v>
      </c>
      <c r="E219" t="s">
        <v>261</v>
      </c>
      <c r="G219" t="s">
        <v>258</v>
      </c>
      <c r="H219" t="s">
        <v>260</v>
      </c>
      <c r="Z219" t="s">
        <v>59</v>
      </c>
      <c r="AA219" t="s">
        <v>60</v>
      </c>
      <c r="AB219" t="str">
        <f t="shared" si="7"/>
        <v>;;;;;;;;;;;;;;;;;E1;E2</v>
      </c>
      <c r="AC219" t="str">
        <f t="shared" si="6"/>
        <v>do $$ begin IF EXISTS (SELECT 1 FROM operace WHERE operace_id = 20026) THEN update operace set kod = '', nazev = 'Registrace flex ', popis = 'MA;MB;MX + podlepy', filtr = ';;;;;;;;;;;;;;;;;E1;E2', poradi = 28 where operace_id = 20026; ELSE INSERT INTO OPERACE (operace_id, nazev, popis, filtr, kod, poradi) VALUES (20026,'Registrace flex ','MA;MB;MX + podlepy',';;;;;;;;;;;;;;;;;E1;E2','',28); END IF; END $$;</v>
      </c>
    </row>
    <row r="220" spans="2:29" x14ac:dyDescent="0.25">
      <c r="B220">
        <v>29</v>
      </c>
      <c r="D220" s="49">
        <v>20028</v>
      </c>
      <c r="E220" t="s">
        <v>9</v>
      </c>
      <c r="H220" t="s">
        <v>161</v>
      </c>
      <c r="Z220" t="s">
        <v>59</v>
      </c>
      <c r="AA220" t="s">
        <v>60</v>
      </c>
      <c r="AB220" t="str">
        <f t="shared" si="7"/>
        <v>;;;;;;;;;;;;;;;;;E1;E2</v>
      </c>
      <c r="AC220" t="str">
        <f t="shared" si="6"/>
        <v>do $$ begin IF EXISTS (SELECT 1 FROM operace WHERE operace_id = 20028) THEN update operace set kod = '', nazev = 'Laminace', popis = 'MA;MB;MX', filtr = ';;;;;;;;;;;;;;;;;E1;E2', poradi = 29 where operace_id = 20028; ELSE INSERT INTO OPERACE (operace_id, nazev, popis, filtr, kod, poradi) VALUES (20028,'Laminace','MA;MB;MX',';;;;;;;;;;;;;;;;;E1;E2','',29); END IF; END $$;</v>
      </c>
    </row>
    <row r="221" spans="2:29" x14ac:dyDescent="0.25">
      <c r="B221">
        <v>30</v>
      </c>
      <c r="D221" s="49">
        <v>20029</v>
      </c>
      <c r="E221" t="s">
        <v>264</v>
      </c>
      <c r="H221" t="s">
        <v>161</v>
      </c>
      <c r="Z221" t="s">
        <v>59</v>
      </c>
      <c r="AA221" t="s">
        <v>60</v>
      </c>
      <c r="AB221" t="str">
        <f t="shared" si="7"/>
        <v>;;;;;;;;;;;;;;;;;E1;E2</v>
      </c>
      <c r="AC221" t="str">
        <f t="shared" si="6"/>
        <v>do $$ begin IF EXISTS (SELECT 1 FROM operace WHERE operace_id = 20029) THEN update operace set kod = '', nazev = 'Aktivace, sušení na WESSERO', popis = 'MA;MB;MX', filtr = ';;;;;;;;;;;;;;;;;E1;E2', poradi = 30 where operace_id = 20029; ELSE INSERT INTO OPERACE (operace_id, nazev, popis, filtr, kod, poradi) VALUES (20029,'Aktivace, sušení na WESSERO','MA;MB;MX',';;;;;;;;;;;;;;;;;E1;E2','',30); END IF; END $$;</v>
      </c>
    </row>
    <row r="222" spans="2:29" x14ac:dyDescent="0.25">
      <c r="B222">
        <v>31</v>
      </c>
      <c r="D222" s="49">
        <v>20030</v>
      </c>
      <c r="E222" t="s">
        <v>243</v>
      </c>
      <c r="H222" t="s">
        <v>161</v>
      </c>
      <c r="Z222" t="s">
        <v>59</v>
      </c>
      <c r="AA222" t="s">
        <v>60</v>
      </c>
      <c r="AB222" t="str">
        <f t="shared" si="7"/>
        <v>;;;;;;;;;;;;;;;;;E1;E2</v>
      </c>
      <c r="AC222" t="str">
        <f t="shared" si="6"/>
        <v>do $$ begin IF EXISTS (SELECT 1 FROM operace WHERE operace_id = 20030) THEN update operace set kod = '', nazev = 'Kontrola plošek na zařízení Vision Lynx', popis = 'MA;MB;MX', filtr = ';;;;;;;;;;;;;;;;;E1;E2', poradi = 31 where operace_id = 20030; ELSE INSERT INTO OPERACE (operace_id, nazev, popis, filtr, kod, poradi) VALUES (20030,'Kontrola plošek na zařízení Vision Lynx','MA;MB;MX',';;;;;;;;;;;;;;;;;E1;E2','',31); END IF; END $$;</v>
      </c>
    </row>
    <row r="223" spans="2:29" x14ac:dyDescent="0.25">
      <c r="B223">
        <v>32</v>
      </c>
      <c r="D223" s="49">
        <v>20031</v>
      </c>
      <c r="E223" t="s">
        <v>244</v>
      </c>
      <c r="F223" t="s">
        <v>45</v>
      </c>
      <c r="Z223" t="s">
        <v>59</v>
      </c>
      <c r="AA223" t="s">
        <v>60</v>
      </c>
      <c r="AB223" t="str">
        <f t="shared" si="7"/>
        <v>;;;;;;;;;;;;;;;;;E1;E2</v>
      </c>
      <c r="AC223" t="str">
        <f t="shared" si="6"/>
        <v>do $$ begin IF EXISTS (SELECT 1 FROM operace WHERE operace_id = 20031) THEN update operace set kod = 'C', nazev = 'Stripování + MEB 2m/min +  Imersní cínování', popis = '', filtr = ';;;;;;;;;;;;;;;;;E1;E2', poradi = 32 where operace_id = 20031; ELSE INSERT INTO OPERACE (operace_id, nazev, popis, filtr, kod, poradi) VALUES (20031,'Stripování + MEB 2m/min +  Imersní cínování','',';;;;;;;;;;;;;;;;;E1;E2','C',32); END IF; END $$;</v>
      </c>
    </row>
    <row r="224" spans="2:29" x14ac:dyDescent="0.25">
      <c r="B224">
        <v>33</v>
      </c>
      <c r="D224" s="49">
        <v>20032</v>
      </c>
      <c r="E224" t="s">
        <v>245</v>
      </c>
      <c r="F224" t="s">
        <v>45</v>
      </c>
      <c r="Z224" t="s">
        <v>59</v>
      </c>
      <c r="AA224" t="s">
        <v>60</v>
      </c>
      <c r="AB224" t="str">
        <f t="shared" si="7"/>
        <v>;;;;;;;;;;;;;;;;;E1;E2</v>
      </c>
      <c r="AC224" t="str">
        <f t="shared" si="6"/>
        <v>do $$ begin IF EXISTS (SELECT 1 FROM operace WHERE operace_id = 20032) THEN update operace set kod = 'C', nazev = 'Kontrola po Imersním cínování', popis = '', filtr = ';;;;;;;;;;;;;;;;;E1;E2', poradi = 33 where operace_id = 20032; ELSE INSERT INTO OPERACE (operace_id, nazev, popis, filtr, kod, poradi) VALUES (20032,'Kontrola po Imersním cínování','',';;;;;;;;;;;;;;;;;E1;E2','C',33); END IF; END $$;</v>
      </c>
    </row>
    <row r="225" spans="2:29" x14ac:dyDescent="0.25">
      <c r="B225">
        <v>34</v>
      </c>
      <c r="D225" s="49">
        <v>20033</v>
      </c>
      <c r="E225" t="s">
        <v>246</v>
      </c>
      <c r="F225" t="s">
        <v>42</v>
      </c>
      <c r="Z225" t="s">
        <v>59</v>
      </c>
      <c r="AA225" t="s">
        <v>60</v>
      </c>
      <c r="AB225" t="str">
        <f t="shared" si="7"/>
        <v>;;;;;;;;;;;;;;;;;E1;E2</v>
      </c>
      <c r="AC225" t="str">
        <f t="shared" si="6"/>
        <v>do $$ begin IF EXISTS (SELECT 1 FROM operace WHERE operace_id = 20033) THEN update operace set kod = 'I', nazev = 'Imersní zlacení', popis = '', filtr = ';;;;;;;;;;;;;;;;;E1;E2', poradi = 34 where operace_id = 20033; ELSE INSERT INTO OPERACE (operace_id, nazev, popis, filtr, kod, poradi) VALUES (20033,'Imersní zlacení','',';;;;;;;;;;;;;;;;;E1;E2','I',34); END IF; END $$;</v>
      </c>
    </row>
    <row r="226" spans="2:29" x14ac:dyDescent="0.25">
      <c r="B226">
        <v>35</v>
      </c>
      <c r="D226" s="49">
        <v>20034</v>
      </c>
      <c r="E226" t="s">
        <v>247</v>
      </c>
      <c r="F226" t="s">
        <v>42</v>
      </c>
      <c r="Z226" t="s">
        <v>59</v>
      </c>
      <c r="AA226" t="s">
        <v>60</v>
      </c>
      <c r="AB226" t="str">
        <f t="shared" si="7"/>
        <v>;;;;;;;;;;;;;;;;;E1;E2</v>
      </c>
      <c r="AC226" t="str">
        <f t="shared" si="6"/>
        <v>do $$ begin IF EXISTS (SELECT 1 FROM operace WHERE operace_id = 20034) THEN update operace set kod = 'I', nazev = 'Kontrola po Imersním zlacení', popis = '', filtr = ';;;;;;;;;;;;;;;;;E1;E2', poradi = 35 where operace_id = 20034; ELSE INSERT INTO OPERACE (operace_id, nazev, popis, filtr, kod, poradi) VALUES (20034,'Kontrola po Imersním zlacení','',';;;;;;;;;;;;;;;;;E1;E2','I',35); END IF; END $$;</v>
      </c>
    </row>
    <row r="227" spans="2:29" x14ac:dyDescent="0.25">
      <c r="B227">
        <v>36</v>
      </c>
      <c r="D227" s="49">
        <v>20035</v>
      </c>
      <c r="E227" t="s">
        <v>134</v>
      </c>
      <c r="F227" t="s">
        <v>47</v>
      </c>
      <c r="Z227" t="s">
        <v>59</v>
      </c>
      <c r="AA227" t="s">
        <v>60</v>
      </c>
      <c r="AB227" t="str">
        <f t="shared" si="7"/>
        <v>;;;;;;;;;;;;;;;;;E1;E2</v>
      </c>
      <c r="AC227" t="str">
        <f t="shared" si="6"/>
        <v>do $$ begin IF EXISTS (SELECT 1 FROM operace WHERE operace_id = 20035) THEN update operace set kod = 'T', nazev = 'Elektrický test', popis = '', filtr = ';;;;;;;;;;;;;;;;;E1;E2', poradi = 36 where operace_id = 20035; ELSE INSERT INTO OPERACE (operace_id, nazev, popis, filtr, kod, poradi) VALUES (20035,'Elektrický test','',';;;;;;;;;;;;;;;;;E1;E2','T',36); END IF; END $$;</v>
      </c>
    </row>
    <row r="228" spans="2:29" x14ac:dyDescent="0.25">
      <c r="B228">
        <v>37</v>
      </c>
      <c r="D228" s="49">
        <v>20036</v>
      </c>
      <c r="E228" t="s">
        <v>248</v>
      </c>
      <c r="F228" t="s">
        <v>196</v>
      </c>
      <c r="G228" t="s">
        <v>253</v>
      </c>
      <c r="Z228" t="s">
        <v>59</v>
      </c>
      <c r="AA228" t="s">
        <v>60</v>
      </c>
      <c r="AB228" t="str">
        <f>CONCATENATE(I228,";",J228,";",K228,";",L228,";",M228,";",N228,";",O228,";",P228,";",Q228,";",R228,";",S228,";",T228,";",U228,";",V228,";",W228,";",X228,";",Y228,";",Z228,";",AA228)</f>
        <v>;;;;;;;;;;;;;;;;;E1;E2</v>
      </c>
      <c r="AC228" t="str">
        <f t="shared" si="6"/>
        <v>do $$ begin IF EXISTS (SELECT 1 FROM operace WHERE operace_id = 20036) THEN update operace set kod = 'Y', nazev = 'Stříhání podložek pro frézování', popis = '', filtr = ';;;;;;;;;;;;;;;;;E1;E2', poradi = 37 where operace_id = 20036; ELSE INSERT INTO OPERACE (operace_id, nazev, popis, filtr, kod, poradi) VALUES (20036,'Stříhání podložek pro frézování','',';;;;;;;;;;;;;;;;;E1;E2','Y',37); END IF; END $$;</v>
      </c>
    </row>
    <row r="229" spans="2:29" x14ac:dyDescent="0.25">
      <c r="B229">
        <v>38</v>
      </c>
      <c r="D229" s="49">
        <v>20037</v>
      </c>
      <c r="E229" t="s">
        <v>249</v>
      </c>
      <c r="F229" t="s">
        <v>196</v>
      </c>
      <c r="G229" t="s">
        <v>254</v>
      </c>
      <c r="Z229" t="s">
        <v>59</v>
      </c>
      <c r="AA229" t="s">
        <v>60</v>
      </c>
      <c r="AB229" t="str">
        <f t="shared" si="7"/>
        <v>;;;;;;;;;;;;;;;;;E1;E2</v>
      </c>
      <c r="AC229" t="str">
        <f t="shared" si="6"/>
        <v>do $$ begin IF EXISTS (SELECT 1 FROM operace WHERE operace_id = 20037) THEN update operace set kod = 'Y', nazev = 'Vrtání programu podložka', popis = '', filtr = ';;;;;;;;;;;;;;;;;E1;E2', poradi = 38 where operace_id = 20037; ELSE INSERT INTO OPERACE (operace_id, nazev, popis, filtr, kod, poradi) VALUES (20037,'Vrtání programu podložka','',';;;;;;;;;;;;;;;;;E1;E2','Y',38); END IF; END $$;</v>
      </c>
    </row>
    <row r="230" spans="2:29" x14ac:dyDescent="0.25">
      <c r="B230">
        <v>39</v>
      </c>
      <c r="D230" s="49">
        <v>20038</v>
      </c>
      <c r="E230" t="s">
        <v>250</v>
      </c>
      <c r="F230" t="s">
        <v>196</v>
      </c>
      <c r="G230" t="s">
        <v>255</v>
      </c>
      <c r="Z230" t="s">
        <v>59</v>
      </c>
      <c r="AA230" t="s">
        <v>60</v>
      </c>
      <c r="AB230" t="str">
        <f t="shared" si="7"/>
        <v>;;;;;;;;;;;;;;;;;E1;E2</v>
      </c>
      <c r="AC230" t="str">
        <f t="shared" si="6"/>
        <v>do $$ begin IF EXISTS (SELECT 1 FROM operace WHERE operace_id = 20038) THEN update operace set kod = 'Y', nazev = 'Vrtání programu body s kamerou', popis = '', filtr = ';;;;;;;;;;;;;;;;;E1;E2', poradi = 39 where operace_id = 20038; ELSE INSERT INTO OPERACE (operace_id, nazev, popis, filtr, kod, poradi) VALUES (20038,'Vrtání programu body s kamerou','',';;;;;;;;;;;;;;;;;E1;E2','Y',39); END IF; END $$;</v>
      </c>
    </row>
    <row r="231" spans="2:29" x14ac:dyDescent="0.25">
      <c r="B231">
        <v>40</v>
      </c>
      <c r="D231" s="49">
        <v>20039</v>
      </c>
      <c r="E231" t="s">
        <v>251</v>
      </c>
      <c r="F231" t="s">
        <v>196</v>
      </c>
      <c r="G231" t="s">
        <v>256</v>
      </c>
      <c r="Z231" t="s">
        <v>59</v>
      </c>
      <c r="AA231" t="s">
        <v>60</v>
      </c>
      <c r="AB231" t="str">
        <f t="shared" si="7"/>
        <v>;;;;;;;;;;;;;;;;;E1;E2</v>
      </c>
      <c r="AC231" t="str">
        <f t="shared" si="6"/>
        <v>do $$ begin IF EXISTS (SELECT 1 FROM operace WHERE operace_id = 20039) THEN update operace set kod = 'Y', nazev = 'Vrtání neprokovených otvorů', popis = '', filtr = ';;;;;;;;;;;;;;;;;E1;E2', poradi = 40 where operace_id = 20039; ELSE INSERT INTO OPERACE (operace_id, nazev, popis, filtr, kod, poradi) VALUES (20039,'Vrtání neprokovených otvorů','',';;;;;;;;;;;;;;;;;E1;E2','Y',40); END IF; END $$;</v>
      </c>
    </row>
    <row r="232" spans="2:29" x14ac:dyDescent="0.25">
      <c r="B232">
        <v>41</v>
      </c>
      <c r="D232" s="49">
        <v>20040</v>
      </c>
      <c r="E232" t="s">
        <v>127</v>
      </c>
      <c r="F232" t="s">
        <v>49</v>
      </c>
      <c r="Z232" t="s">
        <v>59</v>
      </c>
      <c r="AA232" t="s">
        <v>60</v>
      </c>
      <c r="AB232" t="str">
        <f t="shared" si="7"/>
        <v>;;;;;;;;;;;;;;;;;E1;E2</v>
      </c>
      <c r="AC232" t="str">
        <f t="shared" si="6"/>
        <v>do $$ begin IF EXISTS (SELECT 1 FROM operace WHERE operace_id = 20040) THEN update operace set kod = 'F1', nazev = 'Frézování výřezů', popis = '', filtr = ';;;;;;;;;;;;;;;;;E1;E2', poradi = 41 where operace_id = 20040; ELSE INSERT INTO OPERACE (operace_id, nazev, popis, filtr, kod, poradi) VALUES (20040,'Frézování výřezů','',';;;;;;;;;;;;;;;;;E1;E2','F1',41); END IF; END $$;</v>
      </c>
    </row>
    <row r="233" spans="2:29" x14ac:dyDescent="0.25">
      <c r="B233">
        <v>42</v>
      </c>
      <c r="D233" s="49">
        <v>20041</v>
      </c>
      <c r="E233" t="s">
        <v>202</v>
      </c>
      <c r="F233" t="s">
        <v>257</v>
      </c>
      <c r="Z233" t="s">
        <v>59</v>
      </c>
      <c r="AA233" t="s">
        <v>60</v>
      </c>
      <c r="AB233" t="str">
        <f t="shared" si="7"/>
        <v>;;;;;;;;;;;;;;;;;E1;E2</v>
      </c>
      <c r="AC233" t="str">
        <f t="shared" si="6"/>
        <v>do $$ begin IF EXISTS (SELECT 1 FROM operace WHERE operace_id = 20041) THEN update operace set kod = 'F2 ', nazev = 'Frézování tvaru ', popis = '', filtr = ';;;;;;;;;;;;;;;;;E1;E2', poradi = 42 where operace_id = 20041; ELSE INSERT INTO OPERACE (operace_id, nazev, popis, filtr, kod, poradi) VALUES (20041,'Frézování tvaru ','',';;;;;;;;;;;;;;;;;E1;E2','F2 ',42); END IF; END $$;</v>
      </c>
    </row>
    <row r="234" spans="2:29" x14ac:dyDescent="0.25">
      <c r="B234">
        <v>43</v>
      </c>
      <c r="D234" s="49">
        <v>20042</v>
      </c>
      <c r="E234" t="s">
        <v>252</v>
      </c>
      <c r="F234" t="s">
        <v>54</v>
      </c>
      <c r="Z234" t="s">
        <v>59</v>
      </c>
      <c r="AA234" t="s">
        <v>60</v>
      </c>
      <c r="AB234" t="str">
        <f t="shared" si="7"/>
        <v>;;;;;;;;;;;;;;;;;E1;E2</v>
      </c>
      <c r="AC234" t="str">
        <f t="shared" si="6"/>
        <v>do $$ begin IF EXISTS (SELECT 1 FROM operace WHERE operace_id = 20042) THEN update operace set kod = 'R', nazev = 'Dokončení tvaru - rozstřih nebo ostřih', popis = '', filtr = ';;;;;;;;;;;;;;;;;E1;E2', poradi = 43 where operace_id = 20042; ELSE INSERT INTO OPERACE (operace_id, nazev, popis, filtr, kod, poradi) VALUES (20042,'Dokončení tvaru - rozstřih nebo ostřih','',';;;;;;;;;;;;;;;;;E1;E2','R',43); END IF; END $$;</v>
      </c>
    </row>
    <row r="235" spans="2:29" x14ac:dyDescent="0.25">
      <c r="B235">
        <v>100001</v>
      </c>
      <c r="D235">
        <v>146</v>
      </c>
      <c r="E235" s="9" t="s">
        <v>129</v>
      </c>
      <c r="I235" t="s">
        <v>73</v>
      </c>
      <c r="J235" t="s">
        <v>58</v>
      </c>
      <c r="K235" s="4" t="s">
        <v>57</v>
      </c>
      <c r="L235" s="4" t="s">
        <v>55</v>
      </c>
      <c r="M235" s="4" t="s">
        <v>56</v>
      </c>
      <c r="N235" s="4" t="s">
        <v>62</v>
      </c>
      <c r="O235" s="4" t="s">
        <v>63</v>
      </c>
      <c r="P235" s="4" t="s">
        <v>64</v>
      </c>
      <c r="Q235" s="4" t="s">
        <v>65</v>
      </c>
      <c r="R235" s="4" t="s">
        <v>66</v>
      </c>
      <c r="S235" s="4" t="s">
        <v>67</v>
      </c>
      <c r="T235" s="4" t="s">
        <v>68</v>
      </c>
      <c r="U235" s="4" t="s">
        <v>69</v>
      </c>
      <c r="V235" s="4" t="s">
        <v>70</v>
      </c>
      <c r="W235" s="4" t="s">
        <v>71</v>
      </c>
      <c r="X235" s="4" t="s">
        <v>72</v>
      </c>
      <c r="Y235" t="s">
        <v>61</v>
      </c>
      <c r="Z235" t="s">
        <v>59</v>
      </c>
      <c r="AA235" t="s">
        <v>60</v>
      </c>
      <c r="AB235" t="str">
        <f t="shared" si="7"/>
        <v>SN;S.;J0;J.;O.;N.;4A;6A;8A;10A;12A;4B;6B;8B;10B;12B;J1;E1;E2</v>
      </c>
      <c r="AC235" t="str">
        <f t="shared" si="6"/>
        <v>do $$ begin IF EXISTS (SELECT 1 FROM operace WHERE operace_id = 146) THEN update operace set kod = '', nazev = 'Vystupní kontrola', popis = '', filtr = 'SN;S.;J0;J.;O.;N.;4A;6A;8A;10A;12A;4B;6B;8B;10B;12B;J1;E1;E2', poradi = 100001 where operace_id = 146; ELSE INSERT INTO OPERACE (operace_id, nazev, popis, filtr, kod, poradi) VALUES (146,'Vystupní kontrola','','SN;S.;J0;J.;O.;N.;4A;6A;8A;10A;12A;4B;6B;8B;10B;12B;J1;E1;E2','',100001); END IF; END $$;</v>
      </c>
    </row>
    <row r="236" spans="2:29" x14ac:dyDescent="0.25">
      <c r="B236">
        <v>100002</v>
      </c>
      <c r="D236" s="28">
        <v>147</v>
      </c>
      <c r="E236" s="9" t="s">
        <v>37</v>
      </c>
      <c r="I236" t="s">
        <v>73</v>
      </c>
      <c r="J236" t="s">
        <v>58</v>
      </c>
      <c r="K236" s="4" t="s">
        <v>57</v>
      </c>
      <c r="L236" s="4" t="s">
        <v>55</v>
      </c>
      <c r="M236" s="4" t="s">
        <v>56</v>
      </c>
      <c r="N236" s="4" t="s">
        <v>62</v>
      </c>
      <c r="O236" s="4" t="s">
        <v>63</v>
      </c>
      <c r="P236" s="4" t="s">
        <v>64</v>
      </c>
      <c r="Q236" s="4" t="s">
        <v>65</v>
      </c>
      <c r="R236" s="4" t="s">
        <v>66</v>
      </c>
      <c r="S236" s="4" t="s">
        <v>67</v>
      </c>
      <c r="T236" s="4" t="s">
        <v>68</v>
      </c>
      <c r="U236" s="4" t="s">
        <v>69</v>
      </c>
      <c r="V236" s="4" t="s">
        <v>70</v>
      </c>
      <c r="W236" s="4" t="s">
        <v>71</v>
      </c>
      <c r="X236" s="4" t="s">
        <v>72</v>
      </c>
      <c r="Y236" t="s">
        <v>61</v>
      </c>
      <c r="Z236" t="s">
        <v>59</v>
      </c>
      <c r="AA236" t="s">
        <v>60</v>
      </c>
      <c r="AB236" t="str">
        <f t="shared" si="7"/>
        <v>SN;S.;J0;J.;O.;N.;4A;6A;8A;10A;12A;4B;6B;8B;10B;12B;J1;E1;E2</v>
      </c>
      <c r="AC236" t="str">
        <f t="shared" si="6"/>
        <v>do $$ begin IF EXISTS (SELECT 1 FROM operace WHERE operace_id = 147) THEN update operace set kod = '', nazev = 'Expedice', popis = '', filtr = 'SN;S.;J0;J.;O.;N.;4A;6A;8A;10A;12A;4B;6B;8B;10B;12B;J1;E1;E2', poradi = 100002 where operace_id = 147; ELSE INSERT INTO OPERACE (operace_id, nazev, popis, filtr, kod, poradi) VALUES (147,'Expedice','','SN;S.;J0;J.;O.;N.;4A;6A;8A;10A;12A;4B;6B;8B;10B;12B;J1;E1;E2','',100002); END IF; END $$;</v>
      </c>
    </row>
    <row r="237" spans="2:29" x14ac:dyDescent="0.25">
      <c r="B237">
        <v>1</v>
      </c>
      <c r="D237">
        <v>3003</v>
      </c>
      <c r="E237" t="s">
        <v>219</v>
      </c>
      <c r="O237" s="4" t="s">
        <v>63</v>
      </c>
      <c r="P237" t="s">
        <v>64</v>
      </c>
      <c r="Q237" t="s">
        <v>65</v>
      </c>
      <c r="R237" t="s">
        <v>66</v>
      </c>
      <c r="S237" t="s">
        <v>67</v>
      </c>
      <c r="T237" t="s">
        <v>68</v>
      </c>
      <c r="U237" t="s">
        <v>69</v>
      </c>
      <c r="V237" t="s">
        <v>70</v>
      </c>
      <c r="W237" t="s">
        <v>71</v>
      </c>
      <c r="X237" t="s">
        <v>72</v>
      </c>
      <c r="AB237" t="str">
        <f t="shared" si="7"/>
        <v>;;;;;;4A;6A;8A;10A;12A;4B;6B;8B;10B;12B;;;</v>
      </c>
      <c r="AC237" t="str">
        <f t="shared" si="6"/>
        <v>do $$ begin IF EXISTS (SELECT 1 FROM operace WHERE operace_id = 3003) THEN update operace set kod = '', nazev = 'Kontrola filmů', popis = '', filtr = ';;;;;;4A;6A;8A;10A;12A;4B;6B;8B;10B;12B;;;', poradi = 1 where operace_id = 3003; ELSE INSERT INTO OPERACE (operace_id, nazev, popis, filtr, kod, poradi) VALUES (3003,'Kontrola filmů','',';;;;;;4A;6A;8A;10A;12A;4B;6B;8B;10B;12B;;;','',1); END IF; END $$;</v>
      </c>
    </row>
    <row r="238" spans="2:29" x14ac:dyDescent="0.25">
      <c r="B238">
        <v>7</v>
      </c>
      <c r="D238">
        <v>20045</v>
      </c>
      <c r="E238" t="s">
        <v>265</v>
      </c>
      <c r="F238" t="s">
        <v>161</v>
      </c>
      <c r="Z238" t="s">
        <v>59</v>
      </c>
      <c r="AA238" t="s">
        <v>60</v>
      </c>
      <c r="AB238" t="str">
        <f t="shared" si="7"/>
        <v>;;;;;;;;;;;;;;;;;E1;E2</v>
      </c>
      <c r="AC238" t="str">
        <f t="shared" si="6"/>
        <v>do $$ begin IF EXISTS (SELECT 1 FROM operace WHERE operace_id = 20045) THEN update operace set kod = 'MA;MB;MX', nazev = 'Flex: maska paketovat', popis = '', filtr = ';;;;;;;;;;;;;;;;;E1;E2', poradi = 7 where operace_id = 20045; ELSE INSERT INTO OPERACE (operace_id, nazev, popis, filtr, kod, poradi) VALUES (20045,'Flex: maska paketovat','',';;;;;;;;;;;;;;;;;E1;E2','MA;MB;MX',7); END IF; END $$;</v>
      </c>
    </row>
    <row r="239" spans="2:29" x14ac:dyDescent="0.25">
      <c r="B239">
        <v>27</v>
      </c>
      <c r="D239">
        <v>20046</v>
      </c>
      <c r="E239" t="s">
        <v>263</v>
      </c>
      <c r="Z239" t="s">
        <v>59</v>
      </c>
      <c r="AA239" t="s">
        <v>60</v>
      </c>
      <c r="AB239" t="str">
        <f t="shared" si="7"/>
        <v>;;;;;;;;;;;;;;;;;E1;E2</v>
      </c>
      <c r="AC239" t="str">
        <f t="shared" si="6"/>
        <v>do $$ begin IF EXISTS (SELECT 1 FROM operace WHERE operace_id = 20046) THEN update operace set kod = '', nazev = 'Sušení 45min při 50 °C', popis = '', filtr = ';;;;;;;;;;;;;;;;;E1;E2', poradi = 27 where operace_id = 20046; ELSE INSERT INTO OPERACE (operace_id, nazev, popis, filtr, kod, poradi) VALUES (20046,'Sušení 45min při 50 °C','',';;;;;;;;;;;;;;;;;E1;E2','',27); END IF; END $$;</v>
      </c>
    </row>
    <row r="240" spans="2:29" x14ac:dyDescent="0.25">
      <c r="B240">
        <v>29</v>
      </c>
      <c r="D240">
        <v>30000</v>
      </c>
      <c r="E240" t="s">
        <v>267</v>
      </c>
      <c r="I240" s="24"/>
      <c r="J240" s="24"/>
      <c r="K240" s="24"/>
      <c r="L240" s="18"/>
      <c r="M240" s="24" t="s">
        <v>56</v>
      </c>
      <c r="N240" s="24"/>
      <c r="O240" s="24" t="s">
        <v>63</v>
      </c>
      <c r="P240" s="18" t="s">
        <v>64</v>
      </c>
      <c r="Q240" s="18" t="s">
        <v>65</v>
      </c>
      <c r="R240" s="18" t="s">
        <v>66</v>
      </c>
      <c r="S240" s="18" t="s">
        <v>67</v>
      </c>
      <c r="T240" s="18" t="s">
        <v>68</v>
      </c>
      <c r="U240" s="18" t="s">
        <v>69</v>
      </c>
      <c r="V240" s="18" t="s">
        <v>70</v>
      </c>
      <c r="W240" s="18" t="s">
        <v>71</v>
      </c>
      <c r="X240" s="18" t="s">
        <v>72</v>
      </c>
      <c r="AB240" t="str">
        <f t="shared" si="7"/>
        <v>;;;;O.;;4A;6A;8A;10A;12A;4B;6B;8B;10B;12B;;;</v>
      </c>
      <c r="AC240" t="str">
        <f t="shared" si="6"/>
        <v>do $$ begin IF EXISTS (SELECT 1 FROM operace WHERE operace_id = 30000) THEN update operace set kod = '', nazev = 'Frézování prokovené', popis = '', filtr = ';;;;O.;;4A;6A;8A;10A;12A;4B;6B;8B;10B;12B;;;', poradi = 29 where operace_id = 30000; ELSE INSERT INTO OPERACE (operace_id, nazev, popis, filtr, kod, poradi) VALUES (30000,'Frézování prokovené','',';;;;O.;;4A;6A;8A;10A;12A;4B;6B;8B;10B;12B;;;','',29); END IF; END $$;</v>
      </c>
    </row>
    <row r="241" spans="1:29" s="57" customFormat="1" x14ac:dyDescent="0.25">
      <c r="B241" s="57" t="s">
        <v>269</v>
      </c>
      <c r="D241" s="57">
        <v>40000</v>
      </c>
      <c r="E241" s="10" t="s">
        <v>268</v>
      </c>
      <c r="F241" s="44" t="s">
        <v>39</v>
      </c>
      <c r="G241" s="36"/>
      <c r="H241" s="57" t="s">
        <v>164</v>
      </c>
      <c r="K241" s="68"/>
      <c r="L241" s="68"/>
      <c r="M241" s="68" t="s">
        <v>56</v>
      </c>
      <c r="N241" s="68" t="s">
        <v>62</v>
      </c>
      <c r="O241" s="68" t="s">
        <v>63</v>
      </c>
      <c r="P241" s="68" t="s">
        <v>64</v>
      </c>
      <c r="Q241" s="68" t="s">
        <v>65</v>
      </c>
      <c r="R241" s="68" t="s">
        <v>66</v>
      </c>
      <c r="S241" s="68" t="s">
        <v>67</v>
      </c>
      <c r="T241" s="68" t="s">
        <v>68</v>
      </c>
      <c r="U241" s="68" t="s">
        <v>69</v>
      </c>
      <c r="V241" s="68" t="s">
        <v>70</v>
      </c>
      <c r="W241" s="68" t="s">
        <v>71</v>
      </c>
      <c r="X241" s="68" t="s">
        <v>72</v>
      </c>
      <c r="Y241" s="68"/>
      <c r="Z241" s="68"/>
      <c r="AA241" s="68"/>
      <c r="AB241" s="57" t="str">
        <f t="shared" ref="AB241:AB245" si="8">CONCATENATE(I241,";",J241,";",K241,";",L241,";",M241,";",N241,";",O241,";",P241,";",Q241,";",R241,";",S241,";",T241,";",U241,";",V241,";",W241,";",X241,";",Y241,";",Z241,";",AA241)</f>
        <v>;;;;O.;N.;4A;6A;8A;10A;12A;4B;6B;8B;10B;12B;;;</v>
      </c>
      <c r="AC241" t="str">
        <f t="shared" si="6"/>
        <v>do $$ begin IF EXISTS (SELECT 1 FROM operace WHERE operace_id = 40000) THEN update operace set kod = 'MB', nazev = 'Nanášení nepájivé masky {strana} - {barva}', popis = 'pouze zelena', filtr = ';;;;O.;N.;4A;6A;8A;10A;12A;4B;6B;8B;10B;12B;;;', poradi = 100.1 where operace_id = 40000; ELSE INSERT INTO OPERACE (operace_id, nazev, popis, filtr, kod, poradi) VALUES (40000,'Nanášení nepájivé masky {strana} - {barva}','pouze zelena',';;;;O.;N.;4A;6A;8A;10A;12A;4B;6B;8B;10B;12B;;;','MB',100.1); END IF; END $$;</v>
      </c>
    </row>
    <row r="242" spans="1:29" s="57" customFormat="1" x14ac:dyDescent="0.25">
      <c r="B242" s="57" t="s">
        <v>270</v>
      </c>
      <c r="D242" s="69">
        <v>40001</v>
      </c>
      <c r="E242" s="10" t="s">
        <v>163</v>
      </c>
      <c r="F242" s="44" t="s">
        <v>39</v>
      </c>
      <c r="G242" s="36"/>
      <c r="H242" s="57" t="s">
        <v>166</v>
      </c>
      <c r="K242" s="68"/>
      <c r="L242" s="68"/>
      <c r="M242" s="68" t="s">
        <v>56</v>
      </c>
      <c r="N242" s="68" t="s">
        <v>62</v>
      </c>
      <c r="O242" s="68" t="s">
        <v>63</v>
      </c>
      <c r="P242" s="68" t="s">
        <v>64</v>
      </c>
      <c r="Q242" s="68" t="s">
        <v>65</v>
      </c>
      <c r="R242" s="68" t="s">
        <v>66</v>
      </c>
      <c r="S242" s="68" t="s">
        <v>67</v>
      </c>
      <c r="T242" s="68" t="s">
        <v>68</v>
      </c>
      <c r="U242" s="68" t="s">
        <v>69</v>
      </c>
      <c r="V242" s="68" t="s">
        <v>70</v>
      </c>
      <c r="W242" s="68" t="s">
        <v>71</v>
      </c>
      <c r="X242" s="68" t="s">
        <v>72</v>
      </c>
      <c r="Y242" s="68"/>
      <c r="Z242" s="68"/>
      <c r="AA242" s="68"/>
      <c r="AB242" s="57" t="str">
        <f t="shared" si="8"/>
        <v>;;;;O.;N.;4A;6A;8A;10A;12A;4B;6B;8B;10B;12B;;;</v>
      </c>
      <c r="AC242" t="str">
        <f t="shared" si="6"/>
        <v>do $$ begin IF EXISTS (SELECT 1 FROM operace WHERE operace_id = 40001) THEN update operace set kod = 'MB', nazev = 'Nanášení nepájivé masky {strana} - sítotisk {barva}', popis = 'všechny ostatní , Q', filtr = ';;;;O.;N.;4A;6A;8A;10A;12A;4B;6B;8B;10B;12B;;;', poradi = 101.1 where operace_id = 40001; ELSE INSERT INTO OPERACE (operace_id, nazev, popis, filtr, kod, poradi) VALUES (40001,'Nanášení nepájivé masky {strana} - sítotisk {barva}','všechny ostatní , Q',';;;;O.;N.;4A;6A;8A;10A;12A;4B;6B;8B;10B;12B;;;','MB',101.1); END IF; END $$;</v>
      </c>
    </row>
    <row r="243" spans="1:29" s="57" customFormat="1" x14ac:dyDescent="0.25">
      <c r="B243" s="57" t="s">
        <v>271</v>
      </c>
      <c r="D243" s="57">
        <v>40002</v>
      </c>
      <c r="E243" s="9" t="s">
        <v>340</v>
      </c>
      <c r="F243" s="44" t="s">
        <v>39</v>
      </c>
      <c r="G243" s="36"/>
      <c r="K243" s="68"/>
      <c r="L243" s="68"/>
      <c r="M243" s="68" t="s">
        <v>56</v>
      </c>
      <c r="N243" s="68" t="s">
        <v>62</v>
      </c>
      <c r="O243" s="68" t="s">
        <v>63</v>
      </c>
      <c r="P243" s="68" t="s">
        <v>64</v>
      </c>
      <c r="Q243" s="68" t="s">
        <v>65</v>
      </c>
      <c r="R243" s="68" t="s">
        <v>66</v>
      </c>
      <c r="S243" s="68" t="s">
        <v>67</v>
      </c>
      <c r="T243" s="68" t="s">
        <v>68</v>
      </c>
      <c r="U243" s="68" t="s">
        <v>69</v>
      </c>
      <c r="V243" s="68" t="s">
        <v>70</v>
      </c>
      <c r="W243" s="68" t="s">
        <v>71</v>
      </c>
      <c r="X243" s="68" t="s">
        <v>72</v>
      </c>
      <c r="Y243" s="68"/>
      <c r="Z243" s="68"/>
      <c r="AA243" s="68"/>
      <c r="AB243" s="57" t="str">
        <f t="shared" si="8"/>
        <v>;;;;O.;N.;4A;6A;8A;10A;12A;4B;6B;8B;10B;12B;;;</v>
      </c>
      <c r="AC243" t="str">
        <f t="shared" si="6"/>
        <v>do $$ begin IF EXISTS (SELECT 1 FROM operace WHERE operace_id = 40002) THEN update operace set kod = 'MB', nazev = 'Vytvorění motivu masky {strana}', popis = '', filtr = ';;;;O.;N.;4A;6A;8A;10A;12A;4B;6B;8B;10B;12B;;;', poradi = 102.1 where operace_id = 40002; ELSE INSERT INTO OPERACE (operace_id, nazev, popis, filtr, kod, poradi) VALUES (40002,'Vytvorění motivu masky {strana}','',';;;;O.;N.;4A;6A;8A;10A;12A;4B;6B;8B;10B;12B;;;','MB',102.1); END IF; END $$;</v>
      </c>
    </row>
    <row r="244" spans="1:29" s="57" customFormat="1" x14ac:dyDescent="0.25">
      <c r="B244" s="57" t="s">
        <v>272</v>
      </c>
      <c r="D244" s="57">
        <v>40003</v>
      </c>
      <c r="E244" s="9" t="s">
        <v>31</v>
      </c>
      <c r="F244" s="39" t="s">
        <v>39</v>
      </c>
      <c r="G244" s="39"/>
      <c r="K244" s="68"/>
      <c r="L244" s="68"/>
      <c r="M244" s="68" t="s">
        <v>56</v>
      </c>
      <c r="N244" s="68" t="s">
        <v>62</v>
      </c>
      <c r="O244" s="68" t="s">
        <v>63</v>
      </c>
      <c r="P244" s="68" t="s">
        <v>64</v>
      </c>
      <c r="Q244" s="68" t="s">
        <v>65</v>
      </c>
      <c r="R244" s="68" t="s">
        <v>66</v>
      </c>
      <c r="S244" s="68" t="s">
        <v>67</v>
      </c>
      <c r="T244" s="68" t="s">
        <v>68</v>
      </c>
      <c r="U244" s="68" t="s">
        <v>69</v>
      </c>
      <c r="V244" s="68" t="s">
        <v>70</v>
      </c>
      <c r="W244" s="68" t="s">
        <v>71</v>
      </c>
      <c r="X244" s="68" t="s">
        <v>72</v>
      </c>
      <c r="Y244" s="68"/>
      <c r="Z244" s="68"/>
      <c r="AA244" s="68"/>
      <c r="AB244" s="57" t="str">
        <f t="shared" si="8"/>
        <v>;;;;O.;N.;4A;6A;8A;10A;12A;4B;6B;8B;10B;12B;;;</v>
      </c>
      <c r="AC244" t="str">
        <f t="shared" si="6"/>
        <v>do $$ begin IF EXISTS (SELECT 1 FROM operace WHERE operace_id = 40003) THEN update operace set kod = 'MB', nazev = 'Vytvrzení', popis = '', filtr = ';;;;O.;N.;4A;6A;8A;10A;12A;4B;6B;8B;10B;12B;;;', poradi = 109.1 where operace_id = 40003; ELSE INSERT INTO OPERACE (operace_id, nazev, popis, filtr, kod, poradi) VALUES (40003,'Vytvrzení','',';;;;O.;N.;4A;6A;8A;10A;12A;4B;6B;8B;10B;12B;;;','MB',109.1); END IF; END $$;</v>
      </c>
    </row>
    <row r="245" spans="1:29" s="57" customFormat="1" x14ac:dyDescent="0.25">
      <c r="B245" s="57" t="s">
        <v>273</v>
      </c>
      <c r="D245" s="69">
        <v>40004</v>
      </c>
      <c r="E245" s="9" t="s">
        <v>30</v>
      </c>
      <c r="F245" s="39" t="s">
        <v>39</v>
      </c>
      <c r="G245" s="39"/>
      <c r="H245" s="57" t="s">
        <v>160</v>
      </c>
      <c r="K245" s="68"/>
      <c r="L245" s="68"/>
      <c r="M245" s="68" t="s">
        <v>56</v>
      </c>
      <c r="N245" s="68" t="s">
        <v>62</v>
      </c>
      <c r="O245" s="68" t="s">
        <v>63</v>
      </c>
      <c r="P245" s="68" t="s">
        <v>64</v>
      </c>
      <c r="Q245" s="68" t="s">
        <v>65</v>
      </c>
      <c r="R245" s="68" t="s">
        <v>66</v>
      </c>
      <c r="S245" s="68" t="s">
        <v>67</v>
      </c>
      <c r="T245" s="68" t="s">
        <v>68</v>
      </c>
      <c r="U245" s="68" t="s">
        <v>69</v>
      </c>
      <c r="V245" s="68" t="s">
        <v>70</v>
      </c>
      <c r="W245" s="68" t="s">
        <v>71</v>
      </c>
      <c r="X245" s="68" t="s">
        <v>72</v>
      </c>
      <c r="Y245" s="68"/>
      <c r="Z245" s="68"/>
      <c r="AA245" s="68"/>
      <c r="AB245" s="57" t="str">
        <f t="shared" si="8"/>
        <v>;;;;O.;N.;4A;6A;8A;10A;12A;4B;6B;8B;10B;12B;;;</v>
      </c>
      <c r="AC245" t="str">
        <f t="shared" si="6"/>
        <v>do $$ begin IF EXISTS (SELECT 1 FROM operace WHERE operace_id = 40004) THEN update operace set kod = 'MB', nazev = 'Kontrola před vytvrzením', popis = '7. a 8. k.t. ', filtr = ';;;;O.;N.;4A;6A;8A;10A;12A;4B;6B;8B;10B;12B;;;', poradi = 108.1 where operace_id = 40004; ELSE INSERT INTO OPERACE (operace_id, nazev, popis, filtr, kod, poradi) VALUES (40004,'Kontrola před vytvrzením','7. a 8. k.t. ',';;;;O.;N.;4A;6A;8A;10A;12A;4B;6B;8B;10B;12B;;;','MB',108.1); END IF; END $$;</v>
      </c>
    </row>
    <row r="246" spans="1:29" s="57" customFormat="1" x14ac:dyDescent="0.25">
      <c r="B246" s="57" t="s">
        <v>274</v>
      </c>
      <c r="D246" s="57">
        <v>50000</v>
      </c>
      <c r="E246" s="10" t="s">
        <v>268</v>
      </c>
      <c r="F246" s="44" t="s">
        <v>40</v>
      </c>
      <c r="G246" s="36"/>
      <c r="H246" s="57" t="s">
        <v>164</v>
      </c>
      <c r="K246" s="68"/>
      <c r="L246" s="68"/>
      <c r="M246" s="68" t="s">
        <v>56</v>
      </c>
      <c r="N246" s="68" t="s">
        <v>62</v>
      </c>
      <c r="O246" s="68" t="s">
        <v>63</v>
      </c>
      <c r="P246" s="68" t="s">
        <v>64</v>
      </c>
      <c r="Q246" s="68" t="s">
        <v>65</v>
      </c>
      <c r="R246" s="68" t="s">
        <v>66</v>
      </c>
      <c r="S246" s="68" t="s">
        <v>67</v>
      </c>
      <c r="T246" s="68" t="s">
        <v>68</v>
      </c>
      <c r="U246" s="68" t="s">
        <v>69</v>
      </c>
      <c r="V246" s="68" t="s">
        <v>70</v>
      </c>
      <c r="W246" s="68" t="s">
        <v>71</v>
      </c>
      <c r="X246" s="68" t="s">
        <v>72</v>
      </c>
      <c r="Y246" s="68"/>
      <c r="Z246" s="68"/>
      <c r="AA246" s="68"/>
      <c r="AB246" s="57" t="str">
        <f t="shared" ref="AB246:AB255" si="9">CONCATENATE(I246,";",J246,";",K246,";",L246,";",M246,";",N246,";",O246,";",P246,";",Q246,";",R246,";",S246,";",T246,";",U246,";",V246,";",W246,";",X246,";",Y246,";",Z246,";",AA246)</f>
        <v>;;;;O.;N.;4A;6A;8A;10A;12A;4B;6B;8B;10B;12B;;;</v>
      </c>
      <c r="AC246" t="str">
        <f t="shared" si="6"/>
        <v>do $$ begin IF EXISTS (SELECT 1 FROM operace WHERE operace_id = 50000) THEN update operace set kod = 'MX', nazev = 'Nanášení nepájivé masky {strana} - {barva}', popis = 'pouze zelena', filtr = ';;;;O.;N.;4A;6A;8A;10A;12A;4B;6B;8B;10B;12B;;;', poradi = 100.2 where operace_id = 50000; ELSE INSERT INTO OPERACE (operace_id, nazev, popis, filtr, kod, poradi) VALUES (50000,'Nanášení nepájivé masky {strana} - {barva}','pouze zelena',';;;;O.;N.;4A;6A;8A;10A;12A;4B;6B;8B;10B;12B;;;','MX',100.2); END IF; END $$;</v>
      </c>
    </row>
    <row r="247" spans="1:29" s="57" customFormat="1" x14ac:dyDescent="0.25">
      <c r="B247" s="57" t="s">
        <v>275</v>
      </c>
      <c r="D247" s="69">
        <v>50001</v>
      </c>
      <c r="E247" s="10" t="s">
        <v>163</v>
      </c>
      <c r="F247" s="44" t="s">
        <v>40</v>
      </c>
      <c r="G247" s="36"/>
      <c r="H247" s="57" t="s">
        <v>166</v>
      </c>
      <c r="K247" s="68"/>
      <c r="L247" s="68"/>
      <c r="M247" s="68" t="s">
        <v>56</v>
      </c>
      <c r="N247" s="68" t="s">
        <v>62</v>
      </c>
      <c r="O247" s="68" t="s">
        <v>63</v>
      </c>
      <c r="P247" s="68" t="s">
        <v>64</v>
      </c>
      <c r="Q247" s="68" t="s">
        <v>65</v>
      </c>
      <c r="R247" s="68" t="s">
        <v>66</v>
      </c>
      <c r="S247" s="68" t="s">
        <v>67</v>
      </c>
      <c r="T247" s="68" t="s">
        <v>68</v>
      </c>
      <c r="U247" s="68" t="s">
        <v>69</v>
      </c>
      <c r="V247" s="68" t="s">
        <v>70</v>
      </c>
      <c r="W247" s="68" t="s">
        <v>71</v>
      </c>
      <c r="X247" s="68" t="s">
        <v>72</v>
      </c>
      <c r="Y247" s="68"/>
      <c r="Z247" s="68"/>
      <c r="AA247" s="68"/>
      <c r="AB247" s="57" t="str">
        <f t="shared" si="9"/>
        <v>;;;;O.;N.;4A;6A;8A;10A;12A;4B;6B;8B;10B;12B;;;</v>
      </c>
      <c r="AC247" t="str">
        <f t="shared" si="6"/>
        <v>do $$ begin IF EXISTS (SELECT 1 FROM operace WHERE operace_id = 50001) THEN update operace set kod = 'MX', nazev = 'Nanášení nepájivé masky {strana} - sítotisk {barva}', popis = 'všechny ostatní , Q', filtr = ';;;;O.;N.;4A;6A;8A;10A;12A;4B;6B;8B;10B;12B;;;', poradi = 101.2 where operace_id = 50001; ELSE INSERT INTO OPERACE (operace_id, nazev, popis, filtr, kod, poradi) VALUES (50001,'Nanášení nepájivé masky {strana} - sítotisk {barva}','všechny ostatní , Q',';;;;O.;N.;4A;6A;8A;10A;12A;4B;6B;8B;10B;12B;;;','MX',101.2); END IF; END $$;</v>
      </c>
    </row>
    <row r="248" spans="1:29" s="57" customFormat="1" x14ac:dyDescent="0.25">
      <c r="B248" s="57" t="s">
        <v>276</v>
      </c>
      <c r="D248" s="57">
        <v>50002</v>
      </c>
      <c r="E248" s="9" t="s">
        <v>340</v>
      </c>
      <c r="F248" s="44" t="s">
        <v>40</v>
      </c>
      <c r="G248" s="36"/>
      <c r="K248" s="68"/>
      <c r="L248" s="68"/>
      <c r="M248" s="68" t="s">
        <v>56</v>
      </c>
      <c r="N248" s="68" t="s">
        <v>62</v>
      </c>
      <c r="O248" s="68" t="s">
        <v>63</v>
      </c>
      <c r="P248" s="68" t="s">
        <v>64</v>
      </c>
      <c r="Q248" s="68" t="s">
        <v>65</v>
      </c>
      <c r="R248" s="68" t="s">
        <v>66</v>
      </c>
      <c r="S248" s="68" t="s">
        <v>67</v>
      </c>
      <c r="T248" s="68" t="s">
        <v>68</v>
      </c>
      <c r="U248" s="68" t="s">
        <v>69</v>
      </c>
      <c r="V248" s="68" t="s">
        <v>70</v>
      </c>
      <c r="W248" s="68" t="s">
        <v>71</v>
      </c>
      <c r="X248" s="68" t="s">
        <v>72</v>
      </c>
      <c r="Y248" s="68"/>
      <c r="Z248" s="68"/>
      <c r="AA248" s="68"/>
      <c r="AB248" s="57" t="str">
        <f t="shared" si="9"/>
        <v>;;;;O.;N.;4A;6A;8A;10A;12A;4B;6B;8B;10B;12B;;;</v>
      </c>
      <c r="AC248" t="str">
        <f t="shared" si="6"/>
        <v>do $$ begin IF EXISTS (SELECT 1 FROM operace WHERE operace_id = 50002) THEN update operace set kod = 'MX', nazev = 'Vytvorění motivu masky {strana}', popis = '', filtr = ';;;;O.;N.;4A;6A;8A;10A;12A;4B;6B;8B;10B;12B;;;', poradi = 102.2 where operace_id = 50002; ELSE INSERT INTO OPERACE (operace_id, nazev, popis, filtr, kod, poradi) VALUES (50002,'Vytvorění motivu masky {strana}','',';;;;O.;N.;4A;6A;8A;10A;12A;4B;6B;8B;10B;12B;;;','MX',102.2); END IF; END $$;</v>
      </c>
    </row>
    <row r="249" spans="1:29" s="57" customFormat="1" x14ac:dyDescent="0.25">
      <c r="B249" s="57" t="s">
        <v>277</v>
      </c>
      <c r="D249" s="57">
        <v>50003</v>
      </c>
      <c r="E249" s="9" t="s">
        <v>31</v>
      </c>
      <c r="F249" s="39" t="s">
        <v>40</v>
      </c>
      <c r="G249" s="39"/>
      <c r="K249" s="68"/>
      <c r="L249" s="68"/>
      <c r="M249" s="68" t="s">
        <v>56</v>
      </c>
      <c r="N249" s="68" t="s">
        <v>62</v>
      </c>
      <c r="O249" s="68" t="s">
        <v>63</v>
      </c>
      <c r="P249" s="68" t="s">
        <v>64</v>
      </c>
      <c r="Q249" s="68" t="s">
        <v>65</v>
      </c>
      <c r="R249" s="68" t="s">
        <v>66</v>
      </c>
      <c r="S249" s="68" t="s">
        <v>67</v>
      </c>
      <c r="T249" s="68" t="s">
        <v>68</v>
      </c>
      <c r="U249" s="68" t="s">
        <v>69</v>
      </c>
      <c r="V249" s="68" t="s">
        <v>70</v>
      </c>
      <c r="W249" s="68" t="s">
        <v>71</v>
      </c>
      <c r="X249" s="68" t="s">
        <v>72</v>
      </c>
      <c r="Y249" s="68"/>
      <c r="Z249" s="68"/>
      <c r="AA249" s="68"/>
      <c r="AB249" s="57" t="str">
        <f t="shared" si="9"/>
        <v>;;;;O.;N.;4A;6A;8A;10A;12A;4B;6B;8B;10B;12B;;;</v>
      </c>
      <c r="AC249" t="str">
        <f t="shared" si="6"/>
        <v>do $$ begin IF EXISTS (SELECT 1 FROM operace WHERE operace_id = 50003) THEN update operace set kod = 'MX', nazev = 'Vytvrzení', popis = '', filtr = ';;;;O.;N.;4A;6A;8A;10A;12A;4B;6B;8B;10B;12B;;;', poradi = 109.2 where operace_id = 50003; ELSE INSERT INTO OPERACE (operace_id, nazev, popis, filtr, kod, poradi) VALUES (50003,'Vytvrzení','',';;;;O.;N.;4A;6A;8A;10A;12A;4B;6B;8B;10B;12B;;;','MX',109.2); END IF; END $$;</v>
      </c>
    </row>
    <row r="250" spans="1:29" s="57" customFormat="1" x14ac:dyDescent="0.25">
      <c r="B250" s="57" t="s">
        <v>278</v>
      </c>
      <c r="D250" s="69">
        <v>50004</v>
      </c>
      <c r="E250" s="9" t="s">
        <v>30</v>
      </c>
      <c r="F250" s="39" t="s">
        <v>40</v>
      </c>
      <c r="G250" s="39"/>
      <c r="H250" s="57" t="s">
        <v>160</v>
      </c>
      <c r="K250" s="68"/>
      <c r="L250" s="68"/>
      <c r="M250" s="68" t="s">
        <v>56</v>
      </c>
      <c r="N250" s="68" t="s">
        <v>62</v>
      </c>
      <c r="O250" s="68" t="s">
        <v>63</v>
      </c>
      <c r="P250" s="68" t="s">
        <v>64</v>
      </c>
      <c r="Q250" s="68" t="s">
        <v>65</v>
      </c>
      <c r="R250" s="68" t="s">
        <v>66</v>
      </c>
      <c r="S250" s="68" t="s">
        <v>67</v>
      </c>
      <c r="T250" s="68" t="s">
        <v>68</v>
      </c>
      <c r="U250" s="68" t="s">
        <v>69</v>
      </c>
      <c r="V250" s="68" t="s">
        <v>70</v>
      </c>
      <c r="W250" s="68" t="s">
        <v>71</v>
      </c>
      <c r="X250" s="68" t="s">
        <v>72</v>
      </c>
      <c r="Y250" s="68"/>
      <c r="Z250" s="68"/>
      <c r="AA250" s="68"/>
      <c r="AB250" s="57" t="str">
        <f t="shared" si="9"/>
        <v>;;;;O.;N.;4A;6A;8A;10A;12A;4B;6B;8B;10B;12B;;;</v>
      </c>
      <c r="AC250" t="str">
        <f t="shared" si="6"/>
        <v>do $$ begin IF EXISTS (SELECT 1 FROM operace WHERE operace_id = 50004) THEN update operace set kod = 'MX', nazev = 'Kontrola před vytvrzením', popis = '7. a 8. k.t. ', filtr = ';;;;O.;N.;4A;6A;8A;10A;12A;4B;6B;8B;10B;12B;;;', poradi = 108.2 where operace_id = 50004; ELSE INSERT INTO OPERACE (operace_id, nazev, popis, filtr, kod, poradi) VALUES (50004,'Kontrola před vytvrzením','7. a 8. k.t. ',';;;;O.;N.;4A;6A;8A;10A;12A;4B;6B;8B;10B;12B;;;','MX',108.2); END IF; END $$;</v>
      </c>
    </row>
    <row r="251" spans="1:29" x14ac:dyDescent="0.25">
      <c r="A251" s="61"/>
      <c r="B251" t="s">
        <v>290</v>
      </c>
      <c r="D251">
        <v>60000</v>
      </c>
      <c r="E251" s="9" t="s">
        <v>189</v>
      </c>
      <c r="F251" s="44" t="s">
        <v>321</v>
      </c>
      <c r="G251" s="36"/>
      <c r="K251" s="4" t="s">
        <v>57</v>
      </c>
      <c r="L251" s="4" t="s">
        <v>55</v>
      </c>
      <c r="M251" s="4" t="s">
        <v>56</v>
      </c>
      <c r="N251" s="4" t="s">
        <v>62</v>
      </c>
      <c r="O251" s="4" t="s">
        <v>63</v>
      </c>
      <c r="P251" s="4" t="s">
        <v>64</v>
      </c>
      <c r="Q251" s="4" t="s">
        <v>65</v>
      </c>
      <c r="R251" s="4" t="s">
        <v>66</v>
      </c>
      <c r="S251" s="4" t="s">
        <v>67</v>
      </c>
      <c r="T251" s="4" t="s">
        <v>68</v>
      </c>
      <c r="U251" s="4" t="s">
        <v>69</v>
      </c>
      <c r="V251" s="4" t="s">
        <v>70</v>
      </c>
      <c r="W251" s="4" t="s">
        <v>71</v>
      </c>
      <c r="X251" s="4" t="s">
        <v>72</v>
      </c>
      <c r="Y251" s="68" t="s">
        <v>61</v>
      </c>
      <c r="Z251" s="4"/>
      <c r="AA251" s="4"/>
      <c r="AB251" t="str">
        <f t="shared" si="9"/>
        <v>;;J0;J.;O.;N.;4A;6A;8A;10A;12A;4B;6B;8B;10B;12B;J1;;</v>
      </c>
      <c r="AC251" t="str">
        <f t="shared" si="6"/>
        <v>do $$ begin IF EXISTS (SELECT 1 FROM operace WHERE operace_id = 60000) THEN update operace set kod = 'MB;MX', nazev = 'Vytvrzení 45 min.', popis = '', filtr = ';;J0;J.;O.;N.;4A;6A;8A;10A;12A;4B;6B;8B;10B;12B;J1;;', poradi = 103.1 where operace_id = 60000; ELSE INSERT INTO OPERACE (operace_id, nazev, popis, filtr, kod, poradi) VALUES (60000,'Vytvrzení 45 min.','',';;J0;J.;O.;N.;4A;6A;8A;10A;12A;4B;6B;8B;10B;12B;J1;;','MB;MX',103.1); END IF; END $$;</v>
      </c>
    </row>
    <row r="252" spans="1:29" x14ac:dyDescent="0.25">
      <c r="A252" s="61"/>
      <c r="B252" t="s">
        <v>291</v>
      </c>
      <c r="D252" s="28">
        <v>60001</v>
      </c>
      <c r="E252" s="3" t="s">
        <v>284</v>
      </c>
      <c r="F252" s="44" t="s">
        <v>321</v>
      </c>
      <c r="G252" s="36"/>
      <c r="H252" t="s">
        <v>164</v>
      </c>
      <c r="K252" s="4" t="s">
        <v>57</v>
      </c>
      <c r="L252" s="4" t="s">
        <v>55</v>
      </c>
      <c r="M252" s="4" t="s">
        <v>56</v>
      </c>
      <c r="N252" s="4" t="s">
        <v>62</v>
      </c>
      <c r="O252" s="4" t="s">
        <v>63</v>
      </c>
      <c r="P252" s="4" t="s">
        <v>64</v>
      </c>
      <c r="Q252" s="4" t="s">
        <v>65</v>
      </c>
      <c r="R252" s="4" t="s">
        <v>66</v>
      </c>
      <c r="S252" s="4" t="s">
        <v>67</v>
      </c>
      <c r="T252" s="4" t="s">
        <v>68</v>
      </c>
      <c r="U252" s="4" t="s">
        <v>69</v>
      </c>
      <c r="V252" s="4" t="s">
        <v>70</v>
      </c>
      <c r="W252" s="4" t="s">
        <v>71</v>
      </c>
      <c r="X252" s="4" t="s">
        <v>72</v>
      </c>
      <c r="Y252" s="68" t="s">
        <v>61</v>
      </c>
      <c r="Z252" s="4"/>
      <c r="AA252" s="4"/>
      <c r="AB252" t="str">
        <f t="shared" si="9"/>
        <v>;;J0;J.;O.;N.;4A;6A;8A;10A;12A;4B;6B;8B;10B;12B;J1;;</v>
      </c>
      <c r="AC252" t="str">
        <f t="shared" si="6"/>
        <v>do $$ begin IF EXISTS (SELECT 1 FROM operace WHERE operace_id = 60001) THEN update operace set kod = 'MB;MX', nazev = '2.Nanášení nepájivé masky {strana} - {barva}', popis = 'pouze zelena', filtr = ';;J0;J.;O.;N.;4A;6A;8A;10A;12A;4B;6B;8B;10B;12B;J1;;', poradi = 104.1 where operace_id = 60001; ELSE INSERT INTO OPERACE (operace_id, nazev, popis, filtr, kod, poradi) VALUES (60001,'2.Nanášení nepájivé masky {strana} - {barva}','pouze zelena',';;J0;J.;O.;N.;4A;6A;8A;10A;12A;4B;6B;8B;10B;12B;J1;;','MB;MX',104.1); END IF; END $$;</v>
      </c>
    </row>
    <row r="253" spans="1:29" x14ac:dyDescent="0.25">
      <c r="A253" s="61"/>
      <c r="B253" t="s">
        <v>292</v>
      </c>
      <c r="D253">
        <v>60002</v>
      </c>
      <c r="E253" s="10" t="s">
        <v>285</v>
      </c>
      <c r="F253" s="44" t="s">
        <v>321</v>
      </c>
      <c r="G253" s="36"/>
      <c r="H253" t="s">
        <v>165</v>
      </c>
      <c r="K253" s="4" t="s">
        <v>57</v>
      </c>
      <c r="L253" s="4" t="s">
        <v>55</v>
      </c>
      <c r="M253" s="4" t="s">
        <v>56</v>
      </c>
      <c r="N253" s="4" t="s">
        <v>62</v>
      </c>
      <c r="O253" s="4" t="s">
        <v>63</v>
      </c>
      <c r="P253" s="4" t="s">
        <v>64</v>
      </c>
      <c r="Q253" s="4" t="s">
        <v>65</v>
      </c>
      <c r="R253" s="4" t="s">
        <v>66</v>
      </c>
      <c r="S253" s="4" t="s">
        <v>67</v>
      </c>
      <c r="T253" s="4" t="s">
        <v>68</v>
      </c>
      <c r="U253" s="4" t="s">
        <v>69</v>
      </c>
      <c r="V253" s="4" t="s">
        <v>70</v>
      </c>
      <c r="W253" s="4" t="s">
        <v>71</v>
      </c>
      <c r="X253" s="4" t="s">
        <v>72</v>
      </c>
      <c r="Y253" s="68" t="s">
        <v>61</v>
      </c>
      <c r="Z253" s="4"/>
      <c r="AA253" s="4"/>
      <c r="AB253" t="str">
        <f t="shared" si="9"/>
        <v>;;J0;J.;O.;N.;4A;6A;8A;10A;12A;4B;6B;8B;10B;12B;J1;;</v>
      </c>
      <c r="AC253" t="str">
        <f t="shared" si="6"/>
        <v>do $$ begin IF EXISTS (SELECT 1 FROM operace WHERE operace_id = 60002) THEN update operace set kod = 'MB;MX', nazev = '2.Nanášení nepájivé masky {strana} - sítotisk {barva}', popis = 'všechny ostatní  plus Q', filtr = ';;J0;J.;O.;N.;4A;6A;8A;10A;12A;4B;6B;8B;10B;12B;J1;;', poradi = 105.1 where operace_id = 60002; ELSE INSERT INTO OPERACE (operace_id, nazev, popis, filtr, kod, poradi) VALUES (60002,'2.Nanášení nepájivé masky {strana} - sítotisk {barva}','všechny ostatní  plus Q',';;J0;J.;O.;N.;4A;6A;8A;10A;12A;4B;6B;8B;10B;12B;J1;;','MB;MX',105.1); END IF; END $$;</v>
      </c>
    </row>
    <row r="254" spans="1:29" x14ac:dyDescent="0.25">
      <c r="A254" s="61"/>
      <c r="B254" t="s">
        <v>293</v>
      </c>
      <c r="D254" s="28">
        <v>60003</v>
      </c>
      <c r="E254" s="9" t="s">
        <v>341</v>
      </c>
      <c r="F254" s="44" t="s">
        <v>321</v>
      </c>
      <c r="G254" s="36"/>
      <c r="K254" s="4" t="s">
        <v>57</v>
      </c>
      <c r="L254" s="4" t="s">
        <v>55</v>
      </c>
      <c r="M254" s="4" t="s">
        <v>56</v>
      </c>
      <c r="N254" s="4" t="s">
        <v>62</v>
      </c>
      <c r="O254" s="4" t="s">
        <v>63</v>
      </c>
      <c r="P254" s="4" t="s">
        <v>64</v>
      </c>
      <c r="Q254" s="4" t="s">
        <v>65</v>
      </c>
      <c r="R254" s="4" t="s">
        <v>66</v>
      </c>
      <c r="S254" s="4" t="s">
        <v>67</v>
      </c>
      <c r="T254" s="4" t="s">
        <v>68</v>
      </c>
      <c r="U254" s="4" t="s">
        <v>69</v>
      </c>
      <c r="V254" s="4" t="s">
        <v>70</v>
      </c>
      <c r="W254" s="4" t="s">
        <v>71</v>
      </c>
      <c r="X254" s="4" t="s">
        <v>72</v>
      </c>
      <c r="Y254" s="68" t="s">
        <v>61</v>
      </c>
      <c r="Z254" s="4"/>
      <c r="AA254" s="4"/>
      <c r="AB254" t="str">
        <f t="shared" si="9"/>
        <v>;;J0;J.;O.;N.;4A;6A;8A;10A;12A;4B;6B;8B;10B;12B;J1;;</v>
      </c>
      <c r="AC254" t="str">
        <f t="shared" si="6"/>
        <v>do $$ begin IF EXISTS (SELECT 1 FROM operace WHERE operace_id = 60003) THEN update operace set kod = 'MB;MX', nazev = '2.Vytvorění motivu masky {strana}', popis = '', filtr = ';;J0;J.;O.;N.;4A;6A;8A;10A;12A;4B;6B;8B;10B;12B;J1;;', poradi = 106.1 where operace_id = 60003; ELSE INSERT INTO OPERACE (operace_id, nazev, popis, filtr, kod, poradi) VALUES (60003,'2.Vytvorění motivu masky {strana}','',';;J0;J.;O.;N.;4A;6A;8A;10A;12A;4B;6B;8B;10B;12B;J1;;','MB;MX',106.1); END IF; END $$;</v>
      </c>
    </row>
    <row r="255" spans="1:29" x14ac:dyDescent="0.25">
      <c r="A255" s="61"/>
      <c r="B255" t="s">
        <v>296</v>
      </c>
      <c r="D255">
        <v>70000</v>
      </c>
      <c r="E255" s="1" t="s">
        <v>310</v>
      </c>
      <c r="F255" s="35" t="s">
        <v>297</v>
      </c>
      <c r="G255" s="35"/>
      <c r="H255" t="s">
        <v>170</v>
      </c>
      <c r="K255" s="4"/>
      <c r="L255" s="4"/>
      <c r="M255" s="4" t="s">
        <v>56</v>
      </c>
      <c r="N255" s="4" t="s">
        <v>62</v>
      </c>
      <c r="O255" s="4" t="s">
        <v>63</v>
      </c>
      <c r="P255" s="4" t="s">
        <v>64</v>
      </c>
      <c r="Q255" s="4" t="s">
        <v>65</v>
      </c>
      <c r="R255" s="4" t="s">
        <v>66</v>
      </c>
      <c r="S255" s="4" t="s">
        <v>67</v>
      </c>
      <c r="T255" s="4" t="s">
        <v>68</v>
      </c>
      <c r="U255" s="4" t="s">
        <v>69</v>
      </c>
      <c r="V255" s="4" t="s">
        <v>70</v>
      </c>
      <c r="W255" s="4" t="s">
        <v>71</v>
      </c>
      <c r="X255" s="4" t="s">
        <v>72</v>
      </c>
      <c r="Y255" s="68"/>
      <c r="Z255" s="4"/>
      <c r="AA255" s="4"/>
      <c r="AB255" t="str">
        <f t="shared" si="9"/>
        <v>;;;;O.;N.;4A;6A;8A;10A;12A;4B;6B;8B;10B;12B;;;</v>
      </c>
      <c r="AC255" t="str">
        <f t="shared" si="6"/>
        <v>do $$ begin IF EXISTS (SELECT 1 FROM operace WHERE operace_id = 70000) THEN update operace set kod = 'PB', nazev = 'Potisk NEWPRINT {strana}', popis = 'když Z není', filtr = ';;;;O.;N.;4A;6A;8A;10A;12A;4B;6B;8B;10B;12B;;;', poradi = 107.1 where operace_id = 70000; ELSE INSERT INTO OPERACE (operace_id, nazev, popis, filtr, kod, poradi) VALUES (70000,'Potisk NEWPRINT {strana}','když Z není',';;;;O.;N.;4A;6A;8A;10A;12A;4B;6B;8B;10B;12B;;;','PB',107.1); END IF; END $$;</v>
      </c>
    </row>
    <row r="256" spans="1:29" x14ac:dyDescent="0.25">
      <c r="A256" s="61"/>
      <c r="B256" t="s">
        <v>301</v>
      </c>
      <c r="D256">
        <v>70001</v>
      </c>
      <c r="E256" s="1" t="s">
        <v>310</v>
      </c>
      <c r="F256" s="35" t="s">
        <v>298</v>
      </c>
      <c r="G256" s="35"/>
      <c r="H256" t="s">
        <v>170</v>
      </c>
      <c r="K256" s="4"/>
      <c r="L256" s="4"/>
      <c r="M256" s="4" t="s">
        <v>56</v>
      </c>
      <c r="N256" s="4" t="s">
        <v>62</v>
      </c>
      <c r="O256" s="4" t="s">
        <v>63</v>
      </c>
      <c r="P256" s="4" t="s">
        <v>64</v>
      </c>
      <c r="Q256" s="4" t="s">
        <v>65</v>
      </c>
      <c r="R256" s="4" t="s">
        <v>66</v>
      </c>
      <c r="S256" s="4" t="s">
        <v>67</v>
      </c>
      <c r="T256" s="4" t="s">
        <v>68</v>
      </c>
      <c r="U256" s="4" t="s">
        <v>69</v>
      </c>
      <c r="V256" s="4" t="s">
        <v>70</v>
      </c>
      <c r="W256" s="4" t="s">
        <v>71</v>
      </c>
      <c r="X256" s="4" t="s">
        <v>72</v>
      </c>
      <c r="Y256" s="68"/>
      <c r="Z256" s="4"/>
      <c r="AA256" s="4"/>
      <c r="AB256" t="str">
        <f t="shared" ref="AB256:AB257" si="10">CONCATENATE(I256,";",J256,";",K256,";",L256,";",M256,";",N256,";",O256,";",P256,";",Q256,";",R256,";",S256,";",T256,";",U256,";",V256,";",W256,";",X256,";",Y256,";",Z256,";",AA256)</f>
        <v>;;;;O.;N.;4A;6A;8A;10A;12A;4B;6B;8B;10B;12B;;;</v>
      </c>
      <c r="AC256" t="str">
        <f t="shared" si="6"/>
        <v>do $$ begin IF EXISTS (SELECT 1 FROM operace WHERE operace_id = 70001) THEN update operace set kod = 'PX', nazev = 'Potisk NEWPRINT {strana}', popis = 'když Z není', filtr = ';;;;O.;N.;4A;6A;8A;10A;12A;4B;6B;8B;10B;12B;;;', poradi = 107.2 where operace_id = 70001; ELSE INSERT INTO OPERACE (operace_id, nazev, popis, filtr, kod, poradi) VALUES (70001,'Potisk NEWPRINT {strana}','když Z není',';;;;O.;N.;4A;6A;8A;10A;12A;4B;6B;8B;10B;12B;;;','PX',107.2); END IF; END $$;</v>
      </c>
    </row>
    <row r="257" spans="1:29" x14ac:dyDescent="0.25">
      <c r="A257" s="61"/>
      <c r="B257" t="s">
        <v>299</v>
      </c>
      <c r="C257" s="11"/>
      <c r="D257">
        <v>80000</v>
      </c>
      <c r="E257" s="1" t="s">
        <v>310</v>
      </c>
      <c r="F257" s="35" t="s">
        <v>297</v>
      </c>
      <c r="G257" s="35"/>
      <c r="H257" t="s">
        <v>171</v>
      </c>
      <c r="K257" s="4"/>
      <c r="L257" s="4"/>
      <c r="M257" s="4" t="s">
        <v>56</v>
      </c>
      <c r="N257" s="4" t="s">
        <v>62</v>
      </c>
      <c r="O257" s="4" t="s">
        <v>63</v>
      </c>
      <c r="P257" s="4" t="s">
        <v>64</v>
      </c>
      <c r="Q257" s="4" t="s">
        <v>65</v>
      </c>
      <c r="R257" s="4" t="s">
        <v>66</v>
      </c>
      <c r="S257" s="4" t="s">
        <v>67</v>
      </c>
      <c r="T257" s="4" t="s">
        <v>68</v>
      </c>
      <c r="U257" s="4" t="s">
        <v>69</v>
      </c>
      <c r="V257" s="4" t="s">
        <v>70</v>
      </c>
      <c r="W257" s="4" t="s">
        <v>71</v>
      </c>
      <c r="X257" s="4" t="s">
        <v>72</v>
      </c>
      <c r="Y257" s="68"/>
      <c r="AB257" t="str">
        <f t="shared" si="10"/>
        <v>;;;;O.;N.;4A;6A;8A;10A;12A;4B;6B;8B;10B;12B;;;</v>
      </c>
      <c r="AC257" t="str">
        <f t="shared" si="6"/>
        <v>do $$ begin IF EXISTS (SELECT 1 FROM operace WHERE operace_id = 80000) THEN update operace set kod = 'PB', nazev = 'Potisk NEWPRINT {strana}', popis = 'newprint', filtr = ';;;;O.;N.;4A;6A;8A;10A;12A;4B;6B;8B;10B;12B;;;', poradi = 128.1 where operace_id = 80000; ELSE INSERT INTO OPERACE (operace_id, nazev, popis, filtr, kod, poradi) VALUES (80000,'Potisk NEWPRINT {strana}','newprint',';;;;O.;N.;4A;6A;8A;10A;12A;4B;6B;8B;10B;12B;;;','PB',128.1); END IF; END $$;</v>
      </c>
    </row>
    <row r="258" spans="1:29" x14ac:dyDescent="0.25">
      <c r="A258" s="61"/>
      <c r="B258" t="s">
        <v>300</v>
      </c>
      <c r="C258" s="11"/>
      <c r="D258">
        <v>80001</v>
      </c>
      <c r="E258" s="1" t="s">
        <v>310</v>
      </c>
      <c r="F258" s="35" t="s">
        <v>298</v>
      </c>
      <c r="G258" s="35"/>
      <c r="H258" t="s">
        <v>171</v>
      </c>
      <c r="K258" s="4"/>
      <c r="L258" s="4"/>
      <c r="M258" s="4" t="s">
        <v>56</v>
      </c>
      <c r="N258" s="4" t="s">
        <v>62</v>
      </c>
      <c r="O258" s="4" t="s">
        <v>63</v>
      </c>
      <c r="P258" s="4" t="s">
        <v>64</v>
      </c>
      <c r="Q258" s="4" t="s">
        <v>65</v>
      </c>
      <c r="R258" s="4" t="s">
        <v>66</v>
      </c>
      <c r="S258" s="4" t="s">
        <v>67</v>
      </c>
      <c r="T258" s="4" t="s">
        <v>68</v>
      </c>
      <c r="U258" s="4" t="s">
        <v>69</v>
      </c>
      <c r="V258" s="4" t="s">
        <v>70</v>
      </c>
      <c r="W258" s="4" t="s">
        <v>71</v>
      </c>
      <c r="X258" s="4" t="s">
        <v>72</v>
      </c>
      <c r="Y258" s="68"/>
      <c r="AB258" t="str">
        <f t="shared" ref="AB258:AB270" si="11">CONCATENATE(I258,";",J258,";",K258,";",L258,";",M258,";",N258,";",O258,";",P258,";",Q258,";",R258,";",S258,";",T258,";",U258,";",V258,";",W258,";",X258,";",Y258,";",Z258,";",AA258)</f>
        <v>;;;;O.;N.;4A;6A;8A;10A;12A;4B;6B;8B;10B;12B;;;</v>
      </c>
      <c r="AC258" t="str">
        <f t="shared" si="6"/>
        <v>do $$ begin IF EXISTS (SELECT 1 FROM operace WHERE operace_id = 80001) THEN update operace set kod = 'PX', nazev = 'Potisk NEWPRINT {strana}', popis = 'newprint', filtr = ';;;;O.;N.;4A;6A;8A;10A;12A;4B;6B;8B;10B;12B;;;', poradi = 128.2 where operace_id = 80001; ELSE INSERT INTO OPERACE (operace_id, nazev, popis, filtr, kod, poradi) VALUES (80001,'Potisk NEWPRINT {strana}','newprint',';;;;O.;N.;4A;6A;8A;10A;12A;4B;6B;8B;10B;12B;;;','PX',128.2); END IF; END $$;</v>
      </c>
    </row>
    <row r="259" spans="1:29" x14ac:dyDescent="0.25">
      <c r="A259" s="61"/>
      <c r="B259" t="s">
        <v>305</v>
      </c>
      <c r="D259" s="28">
        <v>90000</v>
      </c>
      <c r="E259" s="1" t="s">
        <v>348</v>
      </c>
      <c r="F259" s="35" t="s">
        <v>297</v>
      </c>
      <c r="G259" s="35"/>
      <c r="H259" t="s">
        <v>167</v>
      </c>
      <c r="K259" s="4"/>
      <c r="L259" s="4"/>
      <c r="M259" s="4" t="s">
        <v>56</v>
      </c>
      <c r="N259" s="4" t="s">
        <v>62</v>
      </c>
      <c r="O259" s="4" t="s">
        <v>63</v>
      </c>
      <c r="P259" s="4" t="s">
        <v>64</v>
      </c>
      <c r="Q259" s="4" t="s">
        <v>65</v>
      </c>
      <c r="R259" s="4" t="s">
        <v>66</v>
      </c>
      <c r="S259" s="4" t="s">
        <v>67</v>
      </c>
      <c r="T259" s="4" t="s">
        <v>68</v>
      </c>
      <c r="U259" s="4" t="s">
        <v>69</v>
      </c>
      <c r="V259" s="4" t="s">
        <v>70</v>
      </c>
      <c r="W259" s="4" t="s">
        <v>71</v>
      </c>
      <c r="X259" s="4" t="s">
        <v>72</v>
      </c>
      <c r="Y259" s="68"/>
      <c r="Z259" s="4"/>
      <c r="AA259" s="4"/>
      <c r="AB259" t="str">
        <f t="shared" si="11"/>
        <v>;;;;O.;N.;4A;6A;8A;10A;12A;4B;6B;8B;10B;12B;;;</v>
      </c>
      <c r="AC259" t="str">
        <f t="shared" ref="AC259:AC285" si="12">CONCATENATE($AC$1,D259,") THEN update operace set kod = '",F259,"', nazev = '",E259,"', popis = '",H259,"', filtr = '",AB259,"', poradi = ",B259," where operace_id = ",D259,"; ELSE INSERT INTO OPERACE (operace_id, nazev, popis, filtr, kod, poradi) VALUES (", D259,",'",E259,"','",H259,"','",AB259,"','",F259,"',",B259,"); END IF; END $$;" )</f>
        <v>do $$ begin IF EXISTS (SELECT 1 FROM operace WHERE operace_id = 90000) THEN update operace set kod = 'PB', nazev = 'Potisk {strana} - sítotisk {barva}, vytvrzení', popis = 'mimo HAL , pokud je zvolen', filtr = ';;;;O.;N.;4A;6A;8A;10A;12A;4B;6B;8B;10B;12B;;;', poradi = 110.1 where operace_id = 90000; ELSE INSERT INTO OPERACE (operace_id, nazev, popis, filtr, kod, poradi) VALUES (90000,'Potisk {strana} - sítotisk {barva}, vytvrzení','mimo HAL , pokud je zvolen',';;;;O.;N.;4A;6A;8A;10A;12A;4B;6B;8B;10B;12B;;;','PB',110.1); END IF; END $$;</v>
      </c>
    </row>
    <row r="260" spans="1:29" x14ac:dyDescent="0.25">
      <c r="A260" s="61"/>
      <c r="B260" t="s">
        <v>306</v>
      </c>
      <c r="D260" s="28">
        <v>90001</v>
      </c>
      <c r="E260" s="1" t="s">
        <v>348</v>
      </c>
      <c r="F260" s="35" t="s">
        <v>298</v>
      </c>
      <c r="G260" s="35"/>
      <c r="H260" t="s">
        <v>167</v>
      </c>
      <c r="K260" s="4"/>
      <c r="L260" s="4"/>
      <c r="M260" s="4" t="s">
        <v>56</v>
      </c>
      <c r="N260" s="4" t="s">
        <v>62</v>
      </c>
      <c r="O260" s="4" t="s">
        <v>63</v>
      </c>
      <c r="P260" s="4" t="s">
        <v>64</v>
      </c>
      <c r="Q260" s="4" t="s">
        <v>65</v>
      </c>
      <c r="R260" s="4" t="s">
        <v>66</v>
      </c>
      <c r="S260" s="4" t="s">
        <v>67</v>
      </c>
      <c r="T260" s="4" t="s">
        <v>68</v>
      </c>
      <c r="U260" s="4" t="s">
        <v>69</v>
      </c>
      <c r="V260" s="4" t="s">
        <v>70</v>
      </c>
      <c r="W260" s="4" t="s">
        <v>71</v>
      </c>
      <c r="X260" s="4" t="s">
        <v>72</v>
      </c>
      <c r="Y260" s="68"/>
      <c r="Z260" s="4"/>
      <c r="AA260" s="4"/>
      <c r="AB260" t="str">
        <f t="shared" si="11"/>
        <v>;;;;O.;N.;4A;6A;8A;10A;12A;4B;6B;8B;10B;12B;;;</v>
      </c>
      <c r="AC260" t="str">
        <f t="shared" si="12"/>
        <v>do $$ begin IF EXISTS (SELECT 1 FROM operace WHERE operace_id = 90001) THEN update operace set kod = 'PX', nazev = 'Potisk {strana} - sítotisk {barva}, vytvrzení', popis = 'mimo HAL , pokud je zvolen', filtr = ';;;;O.;N.;4A;6A;8A;10A;12A;4B;6B;8B;10B;12B;;;', poradi = 110.2 where operace_id = 90001; ELSE INSERT INTO OPERACE (operace_id, nazev, popis, filtr, kod, poradi) VALUES (90001,'Potisk {strana} - sítotisk {barva}, vytvrzení','mimo HAL , pokud je zvolen',';;;;O.;N.;4A;6A;8A;10A;12A;4B;6B;8B;10B;12B;;;','PX',110.2); END IF; END $$;</v>
      </c>
    </row>
    <row r="261" spans="1:29" x14ac:dyDescent="0.25">
      <c r="A261" s="61"/>
      <c r="B261" t="s">
        <v>308</v>
      </c>
      <c r="D261">
        <v>100000</v>
      </c>
      <c r="E261" s="29" t="s">
        <v>348</v>
      </c>
      <c r="F261" s="35" t="s">
        <v>297</v>
      </c>
      <c r="G261" s="35"/>
      <c r="H261" t="s">
        <v>178</v>
      </c>
      <c r="K261" s="4"/>
      <c r="L261" s="4"/>
      <c r="M261" s="4" t="s">
        <v>56</v>
      </c>
      <c r="N261" s="4" t="s">
        <v>62</v>
      </c>
      <c r="O261" s="4" t="s">
        <v>63</v>
      </c>
      <c r="P261" s="4" t="s">
        <v>64</v>
      </c>
      <c r="Q261" s="4" t="s">
        <v>65</v>
      </c>
      <c r="R261" s="4" t="s">
        <v>66</v>
      </c>
      <c r="S261" s="4" t="s">
        <v>67</v>
      </c>
      <c r="T261" s="4" t="s">
        <v>68</v>
      </c>
      <c r="U261" s="4" t="s">
        <v>69</v>
      </c>
      <c r="V261" s="4" t="s">
        <v>70</v>
      </c>
      <c r="W261" s="4" t="s">
        <v>71</v>
      </c>
      <c r="X261" s="4" t="s">
        <v>72</v>
      </c>
      <c r="Y261" s="68"/>
      <c r="Z261" s="4"/>
      <c r="AA261" s="4"/>
      <c r="AB261" t="str">
        <f t="shared" si="11"/>
        <v>;;;;O.;N.;4A;6A;8A;10A;12A;4B;6B;8B;10B;12B;;;</v>
      </c>
      <c r="AC261" t="str">
        <f t="shared" si="12"/>
        <v>do $$ begin IF EXISTS (SELECT 1 FROM operace WHERE operace_id = 100000) THEN update operace set kod = 'PB', nazev = 'Potisk {strana} - sítotisk {barva}, vytvrzení', popis = 'pokud je zvolen', filtr = ';;;;O.;N.;4A;6A;8A;10A;12A;4B;6B;8B;10B;12B;;;', poradi = 112.1 where operace_id = 100000; ELSE INSERT INTO OPERACE (operace_id, nazev, popis, filtr, kod, poradi) VALUES (100000,'Potisk {strana} - sítotisk {barva}, vytvrzení','pokud je zvolen',';;;;O.;N.;4A;6A;8A;10A;12A;4B;6B;8B;10B;12B;;;','PB',112.1); END IF; END $$;</v>
      </c>
    </row>
    <row r="262" spans="1:29" x14ac:dyDescent="0.25">
      <c r="A262" s="61"/>
      <c r="B262" t="s">
        <v>309</v>
      </c>
      <c r="D262">
        <v>100001</v>
      </c>
      <c r="E262" s="29" t="s">
        <v>348</v>
      </c>
      <c r="F262" s="35" t="s">
        <v>298</v>
      </c>
      <c r="G262" s="35"/>
      <c r="H262" t="s">
        <v>178</v>
      </c>
      <c r="K262" s="4"/>
      <c r="L262" s="4"/>
      <c r="M262" s="4" t="s">
        <v>56</v>
      </c>
      <c r="N262" s="4" t="s">
        <v>62</v>
      </c>
      <c r="O262" s="4" t="s">
        <v>63</v>
      </c>
      <c r="P262" s="4" t="s">
        <v>64</v>
      </c>
      <c r="Q262" s="4" t="s">
        <v>65</v>
      </c>
      <c r="R262" s="4" t="s">
        <v>66</v>
      </c>
      <c r="S262" s="4" t="s">
        <v>67</v>
      </c>
      <c r="T262" s="4" t="s">
        <v>68</v>
      </c>
      <c r="U262" s="4" t="s">
        <v>69</v>
      </c>
      <c r="V262" s="4" t="s">
        <v>70</v>
      </c>
      <c r="W262" s="4" t="s">
        <v>71</v>
      </c>
      <c r="X262" s="4" t="s">
        <v>72</v>
      </c>
      <c r="Y262" s="68"/>
      <c r="Z262" s="4"/>
      <c r="AA262" s="4"/>
      <c r="AB262" t="str">
        <f t="shared" si="11"/>
        <v>;;;;O.;N.;4A;6A;8A;10A;12A;4B;6B;8B;10B;12B;;;</v>
      </c>
      <c r="AC262" t="str">
        <f t="shared" si="12"/>
        <v>do $$ begin IF EXISTS (SELECT 1 FROM operace WHERE operace_id = 100001) THEN update operace set kod = 'PX', nazev = 'Potisk {strana} - sítotisk {barva}, vytvrzení', popis = 'pokud je zvolen', filtr = ';;;;O.;N.;4A;6A;8A;10A;12A;4B;6B;8B;10B;12B;;;', poradi = 112.2 where operace_id = 100001; ELSE INSERT INTO OPERACE (operace_id, nazev, popis, filtr, kod, poradi) VALUES (100001,'Potisk {strana} - sítotisk {barva}, vytvrzení','pokud je zvolen',';;;;O.;N.;4A;6A;8A;10A;12A;4B;6B;8B;10B;12B;;;','PX',112.2); END IF; END $$;</v>
      </c>
    </row>
    <row r="263" spans="1:29" x14ac:dyDescent="0.25">
      <c r="A263" s="60" t="s">
        <v>61</v>
      </c>
      <c r="B263" s="71" t="s">
        <v>354</v>
      </c>
      <c r="D263" s="49">
        <v>200000</v>
      </c>
      <c r="E263" s="10" t="s">
        <v>268</v>
      </c>
      <c r="F263" s="57" t="s">
        <v>39</v>
      </c>
      <c r="K263" t="s">
        <v>57</v>
      </c>
      <c r="L263" t="s">
        <v>55</v>
      </c>
      <c r="Y263" t="s">
        <v>61</v>
      </c>
      <c r="AB263" t="str">
        <f t="shared" si="11"/>
        <v>;;J0;J.;;;;;;;;;;;;;J1;;</v>
      </c>
      <c r="AC263" t="str">
        <f t="shared" si="12"/>
        <v>do $$ begin IF EXISTS (SELECT 1 FROM operace WHERE operace_id = 200000) THEN update operace set kod = 'MB', nazev = 'Nanášení nepájivé masky {strana} - {barva}', popis = '', filtr = ';;J0;J.;;;;;;;;;;;;;J1;;', poradi = 13.1 where operace_id = 200000; ELSE INSERT INTO OPERACE (operace_id, nazev, popis, filtr, kod, poradi) VALUES (200000,'Nanášení nepájivé masky {strana} - {barva}','',';;J0;J.;;;;;;;;;;;;;J1;;','MB',13.1); END IF; END $$;</v>
      </c>
    </row>
    <row r="264" spans="1:29" x14ac:dyDescent="0.25">
      <c r="A264" s="60" t="s">
        <v>61</v>
      </c>
      <c r="B264" s="71" t="s">
        <v>355</v>
      </c>
      <c r="D264" s="49">
        <v>200001</v>
      </c>
      <c r="E264" s="10" t="s">
        <v>163</v>
      </c>
      <c r="F264" s="57" t="s">
        <v>39</v>
      </c>
      <c r="K264" t="s">
        <v>57</v>
      </c>
      <c r="L264" t="s">
        <v>55</v>
      </c>
      <c r="Y264" t="s">
        <v>61</v>
      </c>
      <c r="AB264" t="str">
        <f t="shared" si="11"/>
        <v>;;J0;J.;;;;;;;;;;;;;J1;;</v>
      </c>
      <c r="AC264" t="str">
        <f t="shared" si="12"/>
        <v>do $$ begin IF EXISTS (SELECT 1 FROM operace WHERE operace_id = 200001) THEN update operace set kod = 'MB', nazev = 'Nanášení nepájivé masky {strana} - sítotisk {barva}', popis = '', filtr = ';;J0;J.;;;;;;;;;;;;;J1;;', poradi = 14.1 where operace_id = 200001; ELSE INSERT INTO OPERACE (operace_id, nazev, popis, filtr, kod, poradi) VALUES (200001,'Nanášení nepájivé masky {strana} - sítotisk {barva}','',';;J0;J.;;;;;;;;;;;;;J1;;','MB',14.1); END IF; END $$;</v>
      </c>
    </row>
    <row r="265" spans="1:29" x14ac:dyDescent="0.25">
      <c r="A265" s="60" t="s">
        <v>61</v>
      </c>
      <c r="B265" s="71" t="s">
        <v>356</v>
      </c>
      <c r="D265" s="49">
        <v>200002</v>
      </c>
      <c r="E265" s="9" t="s">
        <v>340</v>
      </c>
      <c r="F265" s="57" t="s">
        <v>39</v>
      </c>
      <c r="K265" t="s">
        <v>57</v>
      </c>
      <c r="L265" t="s">
        <v>55</v>
      </c>
      <c r="Y265" t="s">
        <v>61</v>
      </c>
      <c r="AB265" t="str">
        <f t="shared" si="11"/>
        <v>;;J0;J.;;;;;;;;;;;;;J1;;</v>
      </c>
      <c r="AC265" t="str">
        <f t="shared" si="12"/>
        <v>do $$ begin IF EXISTS (SELECT 1 FROM operace WHERE operace_id = 200002) THEN update operace set kod = 'MB', nazev = 'Vytvorění motivu masky {strana}', popis = '', filtr = ';;J0;J.;;;;;;;;;;;;;J1;;', poradi = 15.1 where operace_id = 200002; ELSE INSERT INTO OPERACE (operace_id, nazev, popis, filtr, kod, poradi) VALUES (200002,'Vytvorění motivu masky {strana}','',';;J0;J.;;;;;;;;;;;;;J1;;','MB',15.1); END IF; END $$;</v>
      </c>
    </row>
    <row r="266" spans="1:29" x14ac:dyDescent="0.25">
      <c r="A266" s="60" t="s">
        <v>61</v>
      </c>
      <c r="B266" s="71" t="s">
        <v>357</v>
      </c>
      <c r="D266" s="49">
        <v>200003</v>
      </c>
      <c r="E266" s="9" t="s">
        <v>310</v>
      </c>
      <c r="F266" s="57" t="s">
        <v>297</v>
      </c>
      <c r="K266" t="s">
        <v>57</v>
      </c>
      <c r="L266" t="s">
        <v>55</v>
      </c>
      <c r="Y266" t="s">
        <v>61</v>
      </c>
      <c r="AB266" t="str">
        <f t="shared" si="11"/>
        <v>;;J0;J.;;;;;;;;;;;;;J1;;</v>
      </c>
      <c r="AC266" t="str">
        <f t="shared" si="12"/>
        <v>do $$ begin IF EXISTS (SELECT 1 FROM operace WHERE operace_id = 200003) THEN update operace set kod = 'PB', nazev = 'Potisk NEWPRINT {strana}', popis = '', filtr = ';;J0;J.;;;;;;;;;;;;;J1;;', poradi = 16.1 where operace_id = 200003; ELSE INSERT INTO OPERACE (operace_id, nazev, popis, filtr, kod, poradi) VALUES (200003,'Potisk NEWPRINT {strana}','',';;J0;J.;;;;;;;;;;;;;J1;;','PB',16.1); END IF; END $$;</v>
      </c>
    </row>
    <row r="267" spans="1:29" x14ac:dyDescent="0.25">
      <c r="A267" s="60" t="s">
        <v>61</v>
      </c>
      <c r="B267" s="71" t="s">
        <v>358</v>
      </c>
      <c r="D267" s="49">
        <v>200004</v>
      </c>
      <c r="E267" s="9" t="s">
        <v>31</v>
      </c>
      <c r="F267" s="57" t="s">
        <v>39</v>
      </c>
      <c r="K267" t="s">
        <v>57</v>
      </c>
      <c r="L267" t="s">
        <v>55</v>
      </c>
      <c r="Y267" t="s">
        <v>61</v>
      </c>
      <c r="AB267" t="str">
        <f t="shared" si="11"/>
        <v>;;J0;J.;;;;;;;;;;;;;J1;;</v>
      </c>
      <c r="AC267" t="str">
        <f t="shared" si="12"/>
        <v>do $$ begin IF EXISTS (SELECT 1 FROM operace WHERE operace_id = 200004) THEN update operace set kod = 'MB', nazev = 'Vytvrzení', popis = '', filtr = ';;J0;J.;;;;;;;;;;;;;J1;;', poradi = 17.1 where operace_id = 200004; ELSE INSERT INTO OPERACE (operace_id, nazev, popis, filtr, kod, poradi) VALUES (200004,'Vytvrzení','',';;J0;J.;;;;;;;;;;;;;J1;;','MB',17.1); END IF; END $$;</v>
      </c>
    </row>
    <row r="268" spans="1:29" x14ac:dyDescent="0.25">
      <c r="A268" s="60" t="s">
        <v>61</v>
      </c>
      <c r="B268" s="71" t="s">
        <v>359</v>
      </c>
      <c r="D268" s="49">
        <v>200005</v>
      </c>
      <c r="E268" s="9" t="s">
        <v>348</v>
      </c>
      <c r="F268" s="57" t="s">
        <v>297</v>
      </c>
      <c r="K268" t="s">
        <v>57</v>
      </c>
      <c r="L268" t="s">
        <v>55</v>
      </c>
      <c r="Y268" t="s">
        <v>61</v>
      </c>
      <c r="AB268" t="str">
        <f t="shared" si="11"/>
        <v>;;J0;J.;;;;;;;;;;;;;J1;;</v>
      </c>
      <c r="AC268" t="str">
        <f t="shared" si="12"/>
        <v>do $$ begin IF EXISTS (SELECT 1 FROM operace WHERE operace_id = 200005) THEN update operace set kod = 'PB', nazev = 'Potisk {strana} - sítotisk {barva}, vytvrzení', popis = '', filtr = ';;J0;J.;;;;;;;;;;;;;J1;;', poradi = 18.1 where operace_id = 200005; ELSE INSERT INTO OPERACE (operace_id, nazev, popis, filtr, kod, poradi) VALUES (200005,'Potisk {strana} - sítotisk {barva}, vytvrzení','',';;J0;J.;;;;;;;;;;;;;J1;;','PB',18.1); END IF; END $$;</v>
      </c>
    </row>
    <row r="269" spans="1:29" x14ac:dyDescent="0.25">
      <c r="A269" s="60" t="s">
        <v>61</v>
      </c>
      <c r="B269" s="71" t="s">
        <v>360</v>
      </c>
      <c r="D269" s="49">
        <v>200006</v>
      </c>
      <c r="E269" s="9" t="s">
        <v>133</v>
      </c>
      <c r="F269" s="57" t="s">
        <v>39</v>
      </c>
      <c r="K269" t="s">
        <v>57</v>
      </c>
      <c r="L269" t="s">
        <v>55</v>
      </c>
      <c r="Y269" t="s">
        <v>61</v>
      </c>
      <c r="AB269" t="str">
        <f t="shared" si="11"/>
        <v>;;J0;J.;;;;;;;;;;;;;J1;;</v>
      </c>
      <c r="AC269" t="str">
        <f t="shared" si="12"/>
        <v>do $$ begin IF EXISTS (SELECT 1 FROM operace WHERE operace_id = 200006) THEN update operace set kod = 'MB', nazev = 'Kontrola ', popis = '', filtr = ';;J0;J.;;;;;;;;;;;;;J1;;', poradi = 19.1 where operace_id = 200006; ELSE INSERT INTO OPERACE (operace_id, nazev, popis, filtr, kod, poradi) VALUES (200006,'Kontrola ','',';;J0;J.;;;;;;;;;;;;;J1;;','MB',19.1); END IF; END $$;</v>
      </c>
    </row>
    <row r="270" spans="1:29" x14ac:dyDescent="0.25">
      <c r="A270" s="60" t="s">
        <v>61</v>
      </c>
      <c r="B270" s="71" t="s">
        <v>361</v>
      </c>
      <c r="D270" s="49">
        <v>200007</v>
      </c>
      <c r="E270" s="9" t="s">
        <v>348</v>
      </c>
      <c r="F270" s="57" t="s">
        <v>297</v>
      </c>
      <c r="K270" t="s">
        <v>57</v>
      </c>
      <c r="L270" t="s">
        <v>55</v>
      </c>
      <c r="Y270" t="s">
        <v>61</v>
      </c>
      <c r="AB270" t="str">
        <f t="shared" si="11"/>
        <v>;;J0;J.;;;;;;;;;;;;;J1;;</v>
      </c>
      <c r="AC270" t="str">
        <f t="shared" si="12"/>
        <v>do $$ begin IF EXISTS (SELECT 1 FROM operace WHERE operace_id = 200007) THEN update operace set kod = 'PB', nazev = 'Potisk {strana} - sítotisk {barva}, vytvrzení', popis = '', filtr = ';;J0;J.;;;;;;;;;;;;;J1;;', poradi = 21.1 where operace_id = 200007; ELSE INSERT INTO OPERACE (operace_id, nazev, popis, filtr, kod, poradi) VALUES (200007,'Potisk {strana} - sítotisk {barva}, vytvrzení','',';;J0;J.;;;;;;;;;;;;;J1;;','PB',21.1); END IF; END $$;</v>
      </c>
    </row>
    <row r="271" spans="1:29" x14ac:dyDescent="0.25">
      <c r="A271" s="60" t="s">
        <v>61</v>
      </c>
      <c r="B271" s="71" t="s">
        <v>362</v>
      </c>
      <c r="D271" s="49">
        <v>300000</v>
      </c>
      <c r="E271" s="10" t="s">
        <v>268</v>
      </c>
      <c r="F271" s="57" t="s">
        <v>40</v>
      </c>
      <c r="K271" t="s">
        <v>57</v>
      </c>
      <c r="L271" t="s">
        <v>55</v>
      </c>
      <c r="Y271" t="s">
        <v>61</v>
      </c>
      <c r="AB271" t="str">
        <f t="shared" ref="AB271:AB285" si="13">CONCATENATE(I271,";",J271,";",K271,";",L271,";",M271,";",N271,";",O271,";",P271,";",Q271,";",R271,";",S271,";",T271,";",U271,";",V271,";",W271,";",X271,";",Y271,";",Z271,";",AA271)</f>
        <v>;;J0;J.;;;;;;;;;;;;;J1;;</v>
      </c>
      <c r="AC271" t="str">
        <f t="shared" si="12"/>
        <v>do $$ begin IF EXISTS (SELECT 1 FROM operace WHERE operace_id = 300000) THEN update operace set kod = 'MX', nazev = 'Nanášení nepájivé masky {strana} - {barva}', popis = '', filtr = ';;J0;J.;;;;;;;;;;;;;J1;;', poradi = 13.2 where operace_id = 300000; ELSE INSERT INTO OPERACE (operace_id, nazev, popis, filtr, kod, poradi) VALUES (300000,'Nanášení nepájivé masky {strana} - {barva}','',';;J0;J.;;;;;;;;;;;;;J1;;','MX',13.2); END IF; END $$;</v>
      </c>
    </row>
    <row r="272" spans="1:29" x14ac:dyDescent="0.25">
      <c r="A272" s="60" t="s">
        <v>61</v>
      </c>
      <c r="B272" s="71" t="s">
        <v>363</v>
      </c>
      <c r="D272" s="49">
        <v>300001</v>
      </c>
      <c r="E272" s="10" t="s">
        <v>163</v>
      </c>
      <c r="F272" s="57" t="s">
        <v>40</v>
      </c>
      <c r="K272" t="s">
        <v>57</v>
      </c>
      <c r="L272" t="s">
        <v>55</v>
      </c>
      <c r="Y272" t="s">
        <v>61</v>
      </c>
      <c r="AB272" t="str">
        <f t="shared" si="13"/>
        <v>;;J0;J.;;;;;;;;;;;;;J1;;</v>
      </c>
      <c r="AC272" t="str">
        <f t="shared" si="12"/>
        <v>do $$ begin IF EXISTS (SELECT 1 FROM operace WHERE operace_id = 300001) THEN update operace set kod = 'MX', nazev = 'Nanášení nepájivé masky {strana} - sítotisk {barva}', popis = '', filtr = ';;J0;J.;;;;;;;;;;;;;J1;;', poradi = 14.2 where operace_id = 300001; ELSE INSERT INTO OPERACE (operace_id, nazev, popis, filtr, kod, poradi) VALUES (300001,'Nanášení nepájivé masky {strana} - sítotisk {barva}','',';;J0;J.;;;;;;;;;;;;;J1;;','MX',14.2); END IF; END $$;</v>
      </c>
    </row>
    <row r="273" spans="1:29" x14ac:dyDescent="0.25">
      <c r="A273" s="60" t="s">
        <v>61</v>
      </c>
      <c r="B273" s="71" t="s">
        <v>364</v>
      </c>
      <c r="D273" s="49">
        <v>300002</v>
      </c>
      <c r="E273" s="9" t="s">
        <v>340</v>
      </c>
      <c r="F273" s="57" t="s">
        <v>40</v>
      </c>
      <c r="K273" t="s">
        <v>57</v>
      </c>
      <c r="L273" t="s">
        <v>55</v>
      </c>
      <c r="Y273" t="s">
        <v>61</v>
      </c>
      <c r="AB273" t="str">
        <f t="shared" si="13"/>
        <v>;;J0;J.;;;;;;;;;;;;;J1;;</v>
      </c>
      <c r="AC273" t="str">
        <f t="shared" si="12"/>
        <v>do $$ begin IF EXISTS (SELECT 1 FROM operace WHERE operace_id = 300002) THEN update operace set kod = 'MX', nazev = 'Vytvorění motivu masky {strana}', popis = '', filtr = ';;J0;J.;;;;;;;;;;;;;J1;;', poradi = 15.2 where operace_id = 300002; ELSE INSERT INTO OPERACE (operace_id, nazev, popis, filtr, kod, poradi) VALUES (300002,'Vytvorění motivu masky {strana}','',';;J0;J.;;;;;;;;;;;;;J1;;','MX',15.2); END IF; END $$;</v>
      </c>
    </row>
    <row r="274" spans="1:29" x14ac:dyDescent="0.25">
      <c r="A274" s="60" t="s">
        <v>61</v>
      </c>
      <c r="B274" s="71" t="s">
        <v>365</v>
      </c>
      <c r="D274" s="49">
        <v>300003</v>
      </c>
      <c r="E274" s="9" t="s">
        <v>310</v>
      </c>
      <c r="F274" s="57" t="s">
        <v>298</v>
      </c>
      <c r="K274" t="s">
        <v>57</v>
      </c>
      <c r="L274" t="s">
        <v>55</v>
      </c>
      <c r="Y274" t="s">
        <v>61</v>
      </c>
      <c r="AB274" t="str">
        <f t="shared" si="13"/>
        <v>;;J0;J.;;;;;;;;;;;;;J1;;</v>
      </c>
      <c r="AC274" t="str">
        <f t="shared" si="12"/>
        <v>do $$ begin IF EXISTS (SELECT 1 FROM operace WHERE operace_id = 300003) THEN update operace set kod = 'PX', nazev = 'Potisk NEWPRINT {strana}', popis = '', filtr = ';;J0;J.;;;;;;;;;;;;;J1;;', poradi = 16.2 where operace_id = 300003; ELSE INSERT INTO OPERACE (operace_id, nazev, popis, filtr, kod, poradi) VALUES (300003,'Potisk NEWPRINT {strana}','',';;J0;J.;;;;;;;;;;;;;J1;;','PX',16.2); END IF; END $$;</v>
      </c>
    </row>
    <row r="275" spans="1:29" x14ac:dyDescent="0.25">
      <c r="A275" s="60" t="s">
        <v>61</v>
      </c>
      <c r="B275" s="71" t="s">
        <v>366</v>
      </c>
      <c r="D275" s="49">
        <v>300004</v>
      </c>
      <c r="E275" s="9" t="s">
        <v>31</v>
      </c>
      <c r="F275" s="57" t="s">
        <v>40</v>
      </c>
      <c r="K275" t="s">
        <v>57</v>
      </c>
      <c r="L275" t="s">
        <v>55</v>
      </c>
      <c r="Y275" t="s">
        <v>61</v>
      </c>
      <c r="AB275" t="str">
        <f t="shared" si="13"/>
        <v>;;J0;J.;;;;;;;;;;;;;J1;;</v>
      </c>
      <c r="AC275" t="str">
        <f t="shared" si="12"/>
        <v>do $$ begin IF EXISTS (SELECT 1 FROM operace WHERE operace_id = 300004) THEN update operace set kod = 'MX', nazev = 'Vytvrzení', popis = '', filtr = ';;J0;J.;;;;;;;;;;;;;J1;;', poradi = 17.2 where operace_id = 300004; ELSE INSERT INTO OPERACE (operace_id, nazev, popis, filtr, kod, poradi) VALUES (300004,'Vytvrzení','',';;J0;J.;;;;;;;;;;;;;J1;;','MX',17.2); END IF; END $$;</v>
      </c>
    </row>
    <row r="276" spans="1:29" x14ac:dyDescent="0.25">
      <c r="A276" s="60" t="s">
        <v>61</v>
      </c>
      <c r="B276" s="71" t="s">
        <v>367</v>
      </c>
      <c r="D276" s="49">
        <v>300005</v>
      </c>
      <c r="E276" s="9" t="s">
        <v>348</v>
      </c>
      <c r="F276" s="57" t="s">
        <v>298</v>
      </c>
      <c r="K276" t="s">
        <v>57</v>
      </c>
      <c r="L276" t="s">
        <v>55</v>
      </c>
      <c r="Y276" t="s">
        <v>61</v>
      </c>
      <c r="AB276" t="str">
        <f t="shared" si="13"/>
        <v>;;J0;J.;;;;;;;;;;;;;J1;;</v>
      </c>
      <c r="AC276" t="str">
        <f t="shared" si="12"/>
        <v>do $$ begin IF EXISTS (SELECT 1 FROM operace WHERE operace_id = 300005) THEN update operace set kod = 'PX', nazev = 'Potisk {strana} - sítotisk {barva}, vytvrzení', popis = '', filtr = ';;J0;J.;;;;;;;;;;;;;J1;;', poradi = 18.2 where operace_id = 300005; ELSE INSERT INTO OPERACE (operace_id, nazev, popis, filtr, kod, poradi) VALUES (300005,'Potisk {strana} - sítotisk {barva}, vytvrzení','',';;J0;J.;;;;;;;;;;;;;J1;;','PX',18.2); END IF; END $$;</v>
      </c>
    </row>
    <row r="277" spans="1:29" x14ac:dyDescent="0.25">
      <c r="A277" s="60" t="s">
        <v>61</v>
      </c>
      <c r="B277" s="71" t="s">
        <v>368</v>
      </c>
      <c r="D277" s="49">
        <v>300006</v>
      </c>
      <c r="E277" s="9" t="s">
        <v>133</v>
      </c>
      <c r="F277" s="57" t="s">
        <v>40</v>
      </c>
      <c r="K277" t="s">
        <v>57</v>
      </c>
      <c r="L277" t="s">
        <v>55</v>
      </c>
      <c r="Y277" t="s">
        <v>61</v>
      </c>
      <c r="AB277" t="str">
        <f t="shared" si="13"/>
        <v>;;J0;J.;;;;;;;;;;;;;J1;;</v>
      </c>
      <c r="AC277" t="str">
        <f t="shared" si="12"/>
        <v>do $$ begin IF EXISTS (SELECT 1 FROM operace WHERE operace_id = 300006) THEN update operace set kod = 'MX', nazev = 'Kontrola ', popis = '', filtr = ';;J0;J.;;;;;;;;;;;;;J1;;', poradi = 19.2 where operace_id = 300006; ELSE INSERT INTO OPERACE (operace_id, nazev, popis, filtr, kod, poradi) VALUES (300006,'Kontrola ','',';;J0;J.;;;;;;;;;;;;;J1;;','MX',19.2); END IF; END $$;</v>
      </c>
    </row>
    <row r="278" spans="1:29" x14ac:dyDescent="0.25">
      <c r="A278" s="60" t="s">
        <v>61</v>
      </c>
      <c r="B278" s="71" t="s">
        <v>369</v>
      </c>
      <c r="D278" s="49">
        <v>300007</v>
      </c>
      <c r="E278" s="9" t="s">
        <v>348</v>
      </c>
      <c r="F278" s="57" t="s">
        <v>298</v>
      </c>
      <c r="K278" t="s">
        <v>57</v>
      </c>
      <c r="L278" t="s">
        <v>55</v>
      </c>
      <c r="Y278" t="s">
        <v>61</v>
      </c>
      <c r="AB278" t="str">
        <f t="shared" si="13"/>
        <v>;;J0;J.;;;;;;;;;;;;;J1;;</v>
      </c>
      <c r="AC278" t="str">
        <f t="shared" si="12"/>
        <v>do $$ begin IF EXISTS (SELECT 1 FROM operace WHERE operace_id = 300007) THEN update operace set kod = 'PX', nazev = 'Potisk {strana} - sítotisk {barva}, vytvrzení', popis = '', filtr = ';;J0;J.;;;;;;;;;;;;;J1;;', poradi = 21.2 where operace_id = 300007; ELSE INSERT INTO OPERACE (operace_id, nazev, popis, filtr, kod, poradi) VALUES (300007,'Potisk {strana} - sítotisk {barva}, vytvrzení','',';;J0;J.;;;;;;;;;;;;;J1;;','PX',21.2); END IF; END $$;</v>
      </c>
    </row>
    <row r="279" spans="1:29" x14ac:dyDescent="0.25">
      <c r="A279" s="61"/>
      <c r="B279" t="s">
        <v>319</v>
      </c>
      <c r="D279" s="28">
        <v>7979</v>
      </c>
      <c r="E279" s="10" t="s">
        <v>5</v>
      </c>
      <c r="F279" s="44" t="s">
        <v>161</v>
      </c>
      <c r="G279" s="36"/>
      <c r="H279" t="s">
        <v>173</v>
      </c>
      <c r="K279" s="4" t="s">
        <v>57</v>
      </c>
      <c r="L279" s="4" t="s">
        <v>55</v>
      </c>
      <c r="M279" s="4" t="s">
        <v>56</v>
      </c>
      <c r="N279" s="4" t="s">
        <v>62</v>
      </c>
      <c r="O279" s="4" t="s">
        <v>63</v>
      </c>
      <c r="P279" s="4" t="s">
        <v>64</v>
      </c>
      <c r="Q279" s="4" t="s">
        <v>65</v>
      </c>
      <c r="R279" s="4" t="s">
        <v>66</v>
      </c>
      <c r="S279" s="4" t="s">
        <v>67</v>
      </c>
      <c r="T279" s="4" t="s">
        <v>68</v>
      </c>
      <c r="U279" s="4" t="s">
        <v>69</v>
      </c>
      <c r="V279" s="4" t="s">
        <v>70</v>
      </c>
      <c r="W279" s="4" t="s">
        <v>71</v>
      </c>
      <c r="X279" s="4" t="s">
        <v>72</v>
      </c>
      <c r="Y279" s="4" t="s">
        <v>61</v>
      </c>
      <c r="AB279" t="str">
        <f t="shared" si="13"/>
        <v>;;J0;J.;O.;N.;4A;6A;8A;10A;12A;4B;6B;8B;10B;12B;J1;;</v>
      </c>
      <c r="AC279" t="str">
        <f t="shared" si="12"/>
        <v>do $$ begin IF EXISTS (SELECT 1 FROM operace WHERE operace_id = 7979) THEN update operace set kod = 'MA;MB;MX', nazev = 'Mikrozaleptání (MEB)', popis = '(7,8 kt  a IS40 de104) nebo ostatní material', filtr = ';;J0;J.;O.;N.;4A;6A;8A;10A;12A;4B;6B;8B;10B;12B;J1;;', poradi = 99.1 where operace_id = 7979; ELSE INSERT INTO OPERACE (operace_id, nazev, popis, filtr, kod, poradi) VALUES (7979,'Mikrozaleptání (MEB)','(7,8 kt  a IS40 de104) nebo ostatní material',';;J0;J.;O.;N.;4A;6A;8A;10A;12A;4B;6B;8B;10B;12B;J1;;','MA;MB;MX',99.1); END IF; END $$;</v>
      </c>
    </row>
    <row r="280" spans="1:29" x14ac:dyDescent="0.25">
      <c r="A280" s="61"/>
      <c r="B280" t="s">
        <v>322</v>
      </c>
      <c r="D280">
        <v>61000</v>
      </c>
      <c r="E280" s="9" t="s">
        <v>189</v>
      </c>
      <c r="F280" s="44" t="s">
        <v>40</v>
      </c>
      <c r="G280" s="36"/>
      <c r="K280" s="4" t="s">
        <v>57</v>
      </c>
      <c r="L280" s="4" t="s">
        <v>55</v>
      </c>
      <c r="M280" s="4" t="s">
        <v>56</v>
      </c>
      <c r="N280" s="4" t="s">
        <v>62</v>
      </c>
      <c r="O280" s="4" t="s">
        <v>63</v>
      </c>
      <c r="P280" s="4" t="s">
        <v>64</v>
      </c>
      <c r="Q280" s="4" t="s">
        <v>65</v>
      </c>
      <c r="R280" s="4" t="s">
        <v>66</v>
      </c>
      <c r="S280" s="4" t="s">
        <v>67</v>
      </c>
      <c r="T280" s="4" t="s">
        <v>68</v>
      </c>
      <c r="U280" s="4" t="s">
        <v>69</v>
      </c>
      <c r="V280" s="4" t="s">
        <v>70</v>
      </c>
      <c r="W280" s="4" t="s">
        <v>71</v>
      </c>
      <c r="X280" s="4" t="s">
        <v>72</v>
      </c>
      <c r="Y280" s="68" t="s">
        <v>61</v>
      </c>
      <c r="Z280" s="4"/>
      <c r="AA280" s="4"/>
      <c r="AB280" t="str">
        <f t="shared" si="13"/>
        <v>;;J0;J.;O.;N.;4A;6A;8A;10A;12A;4B;6B;8B;10B;12B;J1;;</v>
      </c>
      <c r="AC280" t="str">
        <f t="shared" si="12"/>
        <v>do $$ begin IF EXISTS (SELECT 1 FROM operace WHERE operace_id = 61000) THEN update operace set kod = 'MX', nazev = 'Vytvrzení 45 min.', popis = '', filtr = ';;J0;J.;O.;N.;4A;6A;8A;10A;12A;4B;6B;8B;10B;12B;J1;;', poradi = 103.2 where operace_id = 61000; ELSE INSERT INTO OPERACE (operace_id, nazev, popis, filtr, kod, poradi) VALUES (61000,'Vytvrzení 45 min.','',';;J0;J.;O.;N.;4A;6A;8A;10A;12A;4B;6B;8B;10B;12B;J1;;','MX',103.2); END IF; END $$;</v>
      </c>
    </row>
    <row r="281" spans="1:29" x14ac:dyDescent="0.25">
      <c r="A281" s="61"/>
      <c r="B281" t="s">
        <v>323</v>
      </c>
      <c r="D281" s="28">
        <v>61001</v>
      </c>
      <c r="E281" s="3" t="s">
        <v>284</v>
      </c>
      <c r="F281" s="44" t="s">
        <v>40</v>
      </c>
      <c r="G281" s="36"/>
      <c r="H281" t="s">
        <v>164</v>
      </c>
      <c r="K281" s="4" t="s">
        <v>57</v>
      </c>
      <c r="L281" s="4" t="s">
        <v>55</v>
      </c>
      <c r="M281" s="4" t="s">
        <v>56</v>
      </c>
      <c r="N281" s="4" t="s">
        <v>62</v>
      </c>
      <c r="O281" s="4" t="s">
        <v>63</v>
      </c>
      <c r="P281" s="4" t="s">
        <v>64</v>
      </c>
      <c r="Q281" s="4" t="s">
        <v>65</v>
      </c>
      <c r="R281" s="4" t="s">
        <v>66</v>
      </c>
      <c r="S281" s="4" t="s">
        <v>67</v>
      </c>
      <c r="T281" s="4" t="s">
        <v>68</v>
      </c>
      <c r="U281" s="4" t="s">
        <v>69</v>
      </c>
      <c r="V281" s="4" t="s">
        <v>70</v>
      </c>
      <c r="W281" s="4" t="s">
        <v>71</v>
      </c>
      <c r="X281" s="4" t="s">
        <v>72</v>
      </c>
      <c r="Y281" s="68" t="s">
        <v>61</v>
      </c>
      <c r="Z281" s="4"/>
      <c r="AA281" s="4"/>
      <c r="AB281" t="str">
        <f t="shared" si="13"/>
        <v>;;J0;J.;O.;N.;4A;6A;8A;10A;12A;4B;6B;8B;10B;12B;J1;;</v>
      </c>
      <c r="AC281" t="str">
        <f t="shared" si="12"/>
        <v>do $$ begin IF EXISTS (SELECT 1 FROM operace WHERE operace_id = 61001) THEN update operace set kod = 'MX', nazev = '2.Nanášení nepájivé masky {strana} - {barva}', popis = 'pouze zelena', filtr = ';;J0;J.;O.;N.;4A;6A;8A;10A;12A;4B;6B;8B;10B;12B;J1;;', poradi = 104.2 where operace_id = 61001; ELSE INSERT INTO OPERACE (operace_id, nazev, popis, filtr, kod, poradi) VALUES (61001,'2.Nanášení nepájivé masky {strana} - {barva}','pouze zelena',';;J0;J.;O.;N.;4A;6A;8A;10A;12A;4B;6B;8B;10B;12B;J1;;','MX',104.2); END IF; END $$;</v>
      </c>
    </row>
    <row r="282" spans="1:29" x14ac:dyDescent="0.25">
      <c r="A282" s="61"/>
      <c r="B282" t="s">
        <v>324</v>
      </c>
      <c r="D282">
        <v>61002</v>
      </c>
      <c r="E282" s="10" t="s">
        <v>285</v>
      </c>
      <c r="F282" s="44" t="s">
        <v>40</v>
      </c>
      <c r="G282" s="36"/>
      <c r="H282" t="s">
        <v>165</v>
      </c>
      <c r="K282" s="4" t="s">
        <v>57</v>
      </c>
      <c r="L282" s="4" t="s">
        <v>55</v>
      </c>
      <c r="M282" s="4" t="s">
        <v>56</v>
      </c>
      <c r="N282" s="4" t="s">
        <v>62</v>
      </c>
      <c r="O282" s="4" t="s">
        <v>63</v>
      </c>
      <c r="P282" s="4" t="s">
        <v>64</v>
      </c>
      <c r="Q282" s="4" t="s">
        <v>65</v>
      </c>
      <c r="R282" s="4" t="s">
        <v>66</v>
      </c>
      <c r="S282" s="4" t="s">
        <v>67</v>
      </c>
      <c r="T282" s="4" t="s">
        <v>68</v>
      </c>
      <c r="U282" s="4" t="s">
        <v>69</v>
      </c>
      <c r="V282" s="4" t="s">
        <v>70</v>
      </c>
      <c r="W282" s="4" t="s">
        <v>71</v>
      </c>
      <c r="X282" s="4" t="s">
        <v>72</v>
      </c>
      <c r="Y282" s="68" t="s">
        <v>61</v>
      </c>
      <c r="Z282" s="4"/>
      <c r="AA282" s="4"/>
      <c r="AB282" t="str">
        <f t="shared" si="13"/>
        <v>;;J0;J.;O.;N.;4A;6A;8A;10A;12A;4B;6B;8B;10B;12B;J1;;</v>
      </c>
      <c r="AC282" t="str">
        <f t="shared" si="12"/>
        <v>do $$ begin IF EXISTS (SELECT 1 FROM operace WHERE operace_id = 61002) THEN update operace set kod = 'MX', nazev = '2.Nanášení nepájivé masky {strana} - sítotisk {barva}', popis = 'všechny ostatní  plus Q', filtr = ';;J0;J.;O.;N.;4A;6A;8A;10A;12A;4B;6B;8B;10B;12B;J1;;', poradi = 105.2 where operace_id = 61002; ELSE INSERT INTO OPERACE (operace_id, nazev, popis, filtr, kod, poradi) VALUES (61002,'2.Nanášení nepájivé masky {strana} - sítotisk {barva}','všechny ostatní  plus Q',';;J0;J.;O.;N.;4A;6A;8A;10A;12A;4B;6B;8B;10B;12B;J1;;','MX',105.2); END IF; END $$;</v>
      </c>
    </row>
    <row r="283" spans="1:29" x14ac:dyDescent="0.25">
      <c r="A283" s="61"/>
      <c r="B283" t="s">
        <v>325</v>
      </c>
      <c r="D283" s="28">
        <v>61003</v>
      </c>
      <c r="E283" s="9" t="s">
        <v>341</v>
      </c>
      <c r="F283" s="44" t="s">
        <v>40</v>
      </c>
      <c r="G283" s="36"/>
      <c r="K283" s="4" t="s">
        <v>57</v>
      </c>
      <c r="L283" s="4" t="s">
        <v>55</v>
      </c>
      <c r="M283" s="4" t="s">
        <v>56</v>
      </c>
      <c r="N283" s="4" t="s">
        <v>62</v>
      </c>
      <c r="O283" s="4" t="s">
        <v>63</v>
      </c>
      <c r="P283" s="4" t="s">
        <v>64</v>
      </c>
      <c r="Q283" s="4" t="s">
        <v>65</v>
      </c>
      <c r="R283" s="4" t="s">
        <v>66</v>
      </c>
      <c r="S283" s="4" t="s">
        <v>67</v>
      </c>
      <c r="T283" s="4" t="s">
        <v>68</v>
      </c>
      <c r="U283" s="4" t="s">
        <v>69</v>
      </c>
      <c r="V283" s="4" t="s">
        <v>70</v>
      </c>
      <c r="W283" s="4" t="s">
        <v>71</v>
      </c>
      <c r="X283" s="4" t="s">
        <v>72</v>
      </c>
      <c r="Y283" s="68" t="s">
        <v>61</v>
      </c>
      <c r="Z283" s="4"/>
      <c r="AA283" s="4"/>
      <c r="AB283" t="str">
        <f t="shared" si="13"/>
        <v>;;J0;J.;O.;N.;4A;6A;8A;10A;12A;4B;6B;8B;10B;12B;J1;;</v>
      </c>
      <c r="AC283" t="str">
        <f t="shared" si="12"/>
        <v>do $$ begin IF EXISTS (SELECT 1 FROM operace WHERE operace_id = 61003) THEN update operace set kod = 'MX', nazev = '2.Vytvorění motivu masky {strana}', popis = '', filtr = ';;J0;J.;O.;N.;4A;6A;8A;10A;12A;4B;6B;8B;10B;12B;J1;;', poradi = 106.2 where operace_id = 61003; ELSE INSERT INTO OPERACE (operace_id, nazev, popis, filtr, kod, poradi) VALUES (61003,'2.Vytvorění motivu masky {strana}','',';;J0;J.;O.;N.;4A;6A;8A;10A;12A;4B;6B;8B;10B;12B;J1;;','MX',106.2); END IF; END $$;</v>
      </c>
    </row>
    <row r="284" spans="1:29" x14ac:dyDescent="0.25">
      <c r="A284" s="61"/>
      <c r="B284" s="70" t="s">
        <v>327</v>
      </c>
      <c r="D284">
        <v>904904</v>
      </c>
      <c r="E284" s="12" t="s">
        <v>326</v>
      </c>
      <c r="F284" s="40"/>
      <c r="G284" s="40"/>
      <c r="H284" s="22"/>
      <c r="I284" s="22"/>
      <c r="J284" s="22"/>
      <c r="K284" s="23"/>
      <c r="L284" s="24"/>
      <c r="M284" s="24" t="s">
        <v>56</v>
      </c>
      <c r="N284" s="24"/>
      <c r="O284" s="24" t="s">
        <v>63</v>
      </c>
      <c r="P284" s="18" t="s">
        <v>64</v>
      </c>
      <c r="Q284" s="18" t="s">
        <v>65</v>
      </c>
      <c r="R284" s="18" t="s">
        <v>66</v>
      </c>
      <c r="S284" s="18" t="s">
        <v>67</v>
      </c>
      <c r="T284" s="18" t="s">
        <v>68</v>
      </c>
      <c r="U284" s="18" t="s">
        <v>69</v>
      </c>
      <c r="V284" s="18" t="s">
        <v>70</v>
      </c>
      <c r="W284" s="18" t="s">
        <v>71</v>
      </c>
      <c r="X284" s="18" t="s">
        <v>72</v>
      </c>
      <c r="AB284" t="str">
        <f t="shared" si="13"/>
        <v>;;;;O.;;4A;6A;8A;10A;12A;4B;6B;8B;10B;12B;;;</v>
      </c>
      <c r="AC284" t="str">
        <f t="shared" si="12"/>
        <v>do $$ begin IF EXISTS (SELECT 1 FROM operace WHERE operace_id = 904904) THEN update operace set kod = '', nazev = '{param1} + {param2}', popis = '', filtr = ';;;;O.;;4A;6A;8A;10A;12A;4B;6B;8B;10B;12B;;;', poradi = 29.0 where operace_id = 904904; ELSE INSERT INTO OPERACE (operace_id, nazev, popis, filtr, kod, poradi) VALUES (904904,'{param1} + {param2}','',';;;;O.;;4A;6A;8A;10A;12A;4B;6B;8B;10B;12B;;;','',29.0); END IF; END $$;</v>
      </c>
    </row>
    <row r="285" spans="1:29" ht="14.45" customHeight="1" x14ac:dyDescent="0.25">
      <c r="A285" s="62" t="s">
        <v>139</v>
      </c>
      <c r="B285" t="s">
        <v>328</v>
      </c>
      <c r="C285">
        <v>16</v>
      </c>
      <c r="D285">
        <v>20012001</v>
      </c>
      <c r="E285" s="2" t="s">
        <v>3</v>
      </c>
      <c r="F285" s="38"/>
      <c r="G285" s="38"/>
      <c r="L285" s="18" t="s">
        <v>55</v>
      </c>
      <c r="M285" s="18" t="s">
        <v>56</v>
      </c>
      <c r="N285" s="18" t="s">
        <v>62</v>
      </c>
      <c r="O285" s="18" t="s">
        <v>63</v>
      </c>
      <c r="P285" s="18" t="s">
        <v>64</v>
      </c>
      <c r="Q285" s="18" t="s">
        <v>65</v>
      </c>
      <c r="R285" s="18" t="s">
        <v>66</v>
      </c>
      <c r="S285" s="18" t="s">
        <v>67</v>
      </c>
      <c r="T285" s="18" t="s">
        <v>68</v>
      </c>
      <c r="U285" s="18" t="s">
        <v>69</v>
      </c>
      <c r="V285" s="18" t="s">
        <v>70</v>
      </c>
      <c r="W285" s="18" t="s">
        <v>71</v>
      </c>
      <c r="X285" s="18" t="s">
        <v>72</v>
      </c>
      <c r="AB285" t="str">
        <f t="shared" si="13"/>
        <v>;;;J.;O.;N.;4A;6A;8A;10A;12A;4B;6B;8B;10B;12B;;;</v>
      </c>
      <c r="AC285" t="str">
        <f t="shared" si="12"/>
        <v>do $$ begin IF EXISTS (SELECT 1 FROM operace WHERE operace_id = 20012001) THEN update operace set kod = '', nazev = 'Vrtání', popis = '', filtr = ';;;J.;O.;N.;4A;6A;8A;10A;12A;4B;6B;8B;10B;12B;;;', poradi = 53.0 where operace_id = 20012001; ELSE INSERT INTO OPERACE (operace_id, nazev, popis, filtr, kod, poradi) VALUES (20012001,'Vrtání','',';;;J.;O.;N.;4A;6A;8A;10A;12A;4B;6B;8B;10B;12B;;;','',53.0); END IF; END $$;</v>
      </c>
    </row>
  </sheetData>
  <autoFilter ref="A1:Y154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ZÁKLAD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Zevl</dc:creator>
  <cp:lastModifiedBy>Martin Timko</cp:lastModifiedBy>
  <cp:lastPrinted>2016-05-02T07:00:46Z</cp:lastPrinted>
  <dcterms:created xsi:type="dcterms:W3CDTF">2015-11-24T12:27:04Z</dcterms:created>
  <dcterms:modified xsi:type="dcterms:W3CDTF">2017-02-22T13:55:20Z</dcterms:modified>
</cp:coreProperties>
</file>